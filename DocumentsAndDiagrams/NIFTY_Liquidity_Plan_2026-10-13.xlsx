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roved Strategy" sheetId="1" state="visible" r:id="rId1"/>
    <sheet name="Forward Test" sheetId="2" state="visible" r:id="rId2"/>
    <sheet name="FT Rules" sheetId="3" state="visible" r:id="rId3"/>
    <sheet name="Intraday Backtest" sheetId="4" state="visible" r:id="rId4"/>
    <sheet name="Trigger Backtest" sheetId="5" state="visible" r:id="rId5"/>
    <sheet name="Summary" sheetId="6" state="visible" r:id="rId6"/>
    <sheet name="Market Context" sheetId="7" state="visible" r:id="rId7"/>
    <sheet name="Timeframes" sheetId="8" state="visible" r:id="rId8"/>
    <sheet name="Liquidity Map" sheetId="9" state="visible" r:id="rId9"/>
    <sheet name="Strategies" sheetId="10" state="visible" r:id="rId10"/>
    <sheet name="Scores" sheetId="11" state="visible" r:id="rId11"/>
    <sheet name="Risk" sheetId="12" state="visible" r:id="rId12"/>
    <sheet name="Daily Data" sheetId="13" state="visible" r:id="rId13"/>
    <sheet name="Chain 10-19" sheetId="14" state="visible" r:id="rId14"/>
    <sheet name="Chain 10-27" sheetId="15" state="visible" r:id="rId15"/>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3">
    <font>
      <name val="Calibri"/>
      <family val="2"/>
      <color theme="1"/>
      <sz val="11"/>
      <scheme val="minor"/>
    </font>
    <font>
      <b val="1"/>
      <color rgb="00FFFFFF"/>
    </font>
    <font>
      <b val="1"/>
    </font>
  </fonts>
  <fills count="6">
    <fill>
      <patternFill/>
    </fill>
    <fill>
      <patternFill patternType="gray125"/>
    </fill>
    <fill>
      <patternFill patternType="solid">
        <fgColor rgb="001F3864"/>
      </patternFill>
    </fill>
    <fill>
      <patternFill patternType="solid">
        <fgColor rgb="00FFF2CC"/>
      </patternFill>
    </fill>
    <fill>
      <patternFill patternType="solid">
        <fgColor rgb="00EDEDED"/>
      </patternFill>
    </fill>
    <fill>
      <patternFill patternType="solid">
        <fgColor rgb="00D9D9D9"/>
      </patternFill>
    </fill>
  </fills>
  <borders count="1">
    <border>
      <left/>
      <right/>
      <top/>
      <bottom/>
      <diagonal/>
    </border>
  </borders>
  <cellStyleXfs count="1">
    <xf numFmtId="0" fontId="0" fillId="0" borderId="0"/>
  </cellStyleXfs>
  <cellXfs count="17">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164" fontId="0" fillId="3" borderId="0" applyAlignment="1" pivotButton="0" quotePrefix="0" xfId="0">
      <alignment vertical="top" wrapText="1"/>
    </xf>
    <xf numFmtId="165" fontId="0" fillId="0" borderId="0" applyAlignment="1" pivotButton="0" quotePrefix="0" xfId="0">
      <alignment vertical="top" wrapText="1"/>
    </xf>
    <xf numFmtId="3" fontId="0" fillId="0" borderId="0" applyAlignment="1" pivotButton="0" quotePrefix="0" xfId="0">
      <alignment vertical="top" wrapText="1"/>
    </xf>
    <xf numFmtId="165" fontId="0" fillId="0" borderId="0" pivotButton="0" quotePrefix="0" xfId="0"/>
    <xf numFmtId="3" fontId="0" fillId="0" borderId="0" pivotButton="0" quotePrefix="0" xfId="0"/>
    <xf numFmtId="2" fontId="0" fillId="0" borderId="0" pivotButton="0" quotePrefix="0" xfId="0"/>
    <xf numFmtId="0" fontId="2" fillId="0" borderId="0" pivotButton="0" quotePrefix="0" xfId="0"/>
    <xf numFmtId="0" fontId="0" fillId="4" borderId="0" applyAlignment="1" pivotButton="0" quotePrefix="0" xfId="0">
      <alignment vertical="top" wrapText="1"/>
    </xf>
    <xf numFmtId="9" fontId="0" fillId="0" borderId="0" pivotButton="0" quotePrefix="0" xfId="0"/>
    <xf numFmtId="0" fontId="0" fillId="3" borderId="0" pivotButton="0" quotePrefix="0" xfId="0"/>
    <xf numFmtId="0" fontId="1" fillId="2" borderId="0" pivotButton="0" quotePrefix="0" xfId="0"/>
    <xf numFmtId="0" fontId="0" fillId="5"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tabSelected="1" workbookViewId="0">
      <selection activeCell="A1" sqref="A1"/>
    </sheetView>
  </sheetViews>
  <sheetFormatPr baseColWidth="8" defaultRowHeight="15"/>
  <cols>
    <col width="30" customWidth="1" min="1" max="1"/>
    <col width="60" customWidth="1" min="2" max="2"/>
    <col width="60" customWidth="1" min="3" max="3"/>
  </cols>
  <sheetData>
    <row r="1">
      <c r="A1" s="14" t="inlineStr">
        <is>
          <t>Improved liquidity strategy (v2)</t>
        </is>
      </c>
      <c r="B1" s="14" t="inlineStr">
        <is>
          <t>Long (sell-side sweep)</t>
        </is>
      </c>
      <c r="C1" s="14" t="inlineStr">
        <is>
          <t>Short (buy-side raid)</t>
        </is>
      </c>
    </row>
    <row r="2">
      <c r="A2" s="16" t="inlineStr">
        <is>
          <t>1. Level</t>
        </is>
      </c>
      <c r="B2" s="2" t="inlineStr">
        <is>
          <t>Previous day low (PDL) or a marked sell-side pool</t>
        </is>
      </c>
      <c r="C2" s="2" t="inlineStr">
        <is>
          <t>Previous day high (PDH) or a marked buy-side pool</t>
        </is>
      </c>
    </row>
    <row r="3">
      <c r="A3" s="16" t="inlineStr">
        <is>
          <t>2. Sweep</t>
        </is>
      </c>
      <c r="B3" s="2" t="inlineStr">
        <is>
          <t>5m trades &gt; 1 pt below the level</t>
        </is>
      </c>
      <c r="C3" s="2" t="inlineStr">
        <is>
          <t>5m trades &gt; 1 pt above the level</t>
        </is>
      </c>
    </row>
    <row r="4">
      <c r="A4" s="16" t="inlineStr">
        <is>
          <t>3. Structure</t>
        </is>
      </c>
      <c r="B4" s="2" t="inlineStr">
        <is>
          <t>15m close above the last confirmed 15m swing high (2 bars each side)</t>
        </is>
      </c>
      <c r="C4" s="2" t="inlineStr">
        <is>
          <t>15m close back below the level, then 5m close below the last confirmed 5m swing low</t>
        </is>
      </c>
    </row>
    <row r="5">
      <c r="A5" s="16" t="inlineStr">
        <is>
          <t>4. VWAP</t>
        </is>
      </c>
      <c r="B5" s="2" t="inlineStr">
        <is>
          <t>5m close above NIFTY futures VWAP</t>
        </is>
      </c>
      <c r="C5" s="2" t="inlineStr">
        <is>
          <t>5m close below NIFTY futures VWAP</t>
        </is>
      </c>
    </row>
    <row r="6">
      <c r="A6" s="16" t="inlineStr">
        <is>
          <t>5. Back inside</t>
        </is>
      </c>
      <c r="B6" s="2" t="inlineStr">
        <is>
          <t>5m close above the swept level</t>
        </is>
      </c>
      <c r="C6" s="2" t="inlineStr">
        <is>
          <t>5m close below the raided level</t>
        </is>
      </c>
    </row>
    <row r="7">
      <c r="A7" s="16" t="inlineStr">
        <is>
          <t>6. Day-open filter (new)</t>
        </is>
      </c>
      <c r="B7" s="2" t="inlineStr">
        <is>
          <t>5m close above today's 09:15 open</t>
        </is>
      </c>
      <c r="C7" s="2" t="inlineStr">
        <is>
          <t>5m close below today's 09:15 open</t>
        </is>
      </c>
    </row>
    <row r="8">
      <c r="A8" s="16" t="inlineStr">
        <is>
          <t>Entry</t>
        </is>
      </c>
      <c r="B8" s="2" t="inlineStr">
        <is>
          <t>Market order at the close of the 5m candle that completes 2-6. Never before</t>
        </is>
      </c>
      <c r="C8" s="2" t="inlineStr">
        <is>
          <t>Same</t>
        </is>
      </c>
    </row>
    <row r="9">
      <c r="A9" s="16" t="inlineStr">
        <is>
          <t>Stop (new)</t>
        </is>
      </c>
      <c r="B9" s="2" t="inlineStr">
        <is>
          <t>Last confirmed 15m swing low after the sweep - 5 pts (else sweep low - 5)</t>
        </is>
      </c>
      <c r="C9" s="2" t="inlineStr">
        <is>
          <t>Last confirmed 5m swing high after the raid + 5 pts (else raid high + 15)</t>
        </is>
      </c>
    </row>
    <row r="10">
      <c r="A10" s="16" t="inlineStr">
        <is>
          <t>Target</t>
        </is>
      </c>
      <c r="B10" s="2" t="inlineStr">
        <is>
          <t>2R. Exit 15:10 if neither stop nor target hit</t>
        </is>
      </c>
      <c r="C10" s="2" t="inlineStr">
        <is>
          <t>Same</t>
        </is>
      </c>
    </row>
    <row r="11">
      <c r="A11" s="16" t="inlineStr">
        <is>
          <t>Time window</t>
        </is>
      </c>
      <c r="B11" s="2" t="inlineStr">
        <is>
          <t>Entries 09:30-14:30 only</t>
        </is>
      </c>
      <c r="C11" s="2" t="inlineStr">
        <is>
          <t>Same</t>
        </is>
      </c>
    </row>
    <row r="12">
      <c r="A12" s="16" t="inlineStr">
        <is>
          <t>Size</t>
        </is>
      </c>
      <c r="B12" s="2" t="inlineStr">
        <is>
          <t>Lots = (1% of capital) / (stop pts x 65 x option delta). Skip if 1 lot exceeds 1%</t>
        </is>
      </c>
      <c r="C12" s="2" t="inlineStr">
        <is>
          <t>Same</t>
        </is>
      </c>
    </row>
    <row r="13">
      <c r="A13" s="16" t="inlineStr">
        <is>
          <t>Daily limits</t>
        </is>
      </c>
      <c r="B13" s="2" t="inlineStr">
        <is>
          <t>Max 1 trade per side per day. Stop for the day after 2 losses</t>
        </is>
      </c>
      <c r="C13" s="2" t="inlineStr">
        <is>
          <t>Same</t>
        </is>
      </c>
    </row>
    <row r="14">
      <c r="A14" s="16" t="inlineStr">
        <is>
          <t>Never</t>
        </is>
      </c>
      <c r="B14" s="2" t="inlineStr">
        <is>
          <t>Average a loser, move the stop away, enter before all conditions, chase a missed entry</t>
        </is>
      </c>
      <c r="C14" s="2" t="inlineStr">
        <is>
          <t>Same</t>
        </is>
      </c>
    </row>
    <row r="15">
      <c r="A15" s="16" t="inlineStr">
        <is>
          <t>Backtest (21 Jul-13 Oct, 59 sessions)</t>
        </is>
      </c>
      <c r="B15" s="2" t="inlineStr">
        <is>
          <t>17 trades, 65% win, +0.52R/trade, PF 3.49, max DD -2.2R</t>
        </is>
      </c>
      <c r="C15" s="2" t="inlineStr">
        <is>
          <t>See Trigger Backtest sheet</t>
        </is>
      </c>
    </row>
    <row r="16">
      <c r="A16" s="16" t="inlineStr">
        <is>
          <t>Caveat</t>
        </is>
      </c>
      <c r="B16" s="2" t="inlineStr">
        <is>
          <t>Filter chosen after seeing losers; 2 filters tried; 17 trades. Forward-test 30 trades at 1 lot before trusting it</t>
        </is>
      </c>
      <c r="C16"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01"/>
  <sheetViews>
    <sheetView tabSelected="0"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8" customWidth="1" min="2" max="2"/>
    <col width="34" customWidth="1" min="3" max="3"/>
    <col width="9" customWidth="1" min="4" max="4"/>
    <col width="30" customWidth="1" min="5" max="5"/>
    <col width="44" customWidth="1" min="6" max="6"/>
    <col width="10" customWidth="1" min="7" max="7"/>
    <col width="9" customWidth="1" min="8" max="8"/>
    <col width="9" customWidth="1" min="9" max="9"/>
    <col width="9" customWidth="1" min="10" max="10"/>
    <col width="11" customWidth="1" min="11" max="11"/>
    <col width="11" customWidth="1" min="12" max="12"/>
    <col width="9" customWidth="1" min="13" max="13"/>
    <col width="10" customWidth="1" min="14" max="14"/>
    <col width="60" customWidth="1" min="15" max="15"/>
    <col width="24" customWidth="1" min="17" max="17"/>
    <col width="22" customWidth="1" min="18" max="18"/>
  </cols>
  <sheetData>
    <row r="1">
      <c r="A1" s="1" t="inlineStr">
        <is>
          <t>Date</t>
        </is>
      </c>
      <c r="B1" s="1" t="inlineStr">
        <is>
          <t>Mode</t>
        </is>
      </c>
      <c r="C1" s="1" t="inlineStr">
        <is>
          <t>Setup</t>
        </is>
      </c>
      <c r="D1" s="1" t="inlineStr">
        <is>
          <t>Direction</t>
        </is>
      </c>
      <c r="E1" s="1" t="inlineStr">
        <is>
          <t>Bias at open</t>
        </is>
      </c>
      <c r="F1" s="1" t="inlineStr">
        <is>
          <t>Trigger rule (frozen before 9:15)</t>
        </is>
      </c>
      <c r="G1" s="1" t="inlineStr">
        <is>
          <t>Plan entry</t>
        </is>
      </c>
      <c r="H1" s="1" t="inlineStr">
        <is>
          <t>Stop</t>
        </is>
      </c>
      <c r="I1" s="1" t="inlineStr">
        <is>
          <t>T1</t>
        </is>
      </c>
      <c r="J1" s="1" t="inlineStr">
        <is>
          <t>T2</t>
        </is>
      </c>
      <c r="K1" s="1" t="inlineStr">
        <is>
          <t>Triggered?</t>
        </is>
      </c>
      <c r="L1" s="1" t="inlineStr">
        <is>
          <t>Actual entry</t>
        </is>
      </c>
      <c r="M1" s="1" t="inlineStr">
        <is>
          <t>Exit</t>
        </is>
      </c>
      <c r="N1" s="1" t="inlineStr">
        <is>
          <t>Result (R)</t>
        </is>
      </c>
      <c r="O1" s="1" t="inlineStr">
        <is>
          <t>Notes</t>
        </is>
      </c>
      <c r="Q1" s="10" t="inlineStr">
        <is>
          <t>Summary (Live rows only)</t>
        </is>
      </c>
    </row>
    <row r="2">
      <c r="A2" s="11" t="inlineStr">
        <is>
          <t>2026-10-13</t>
        </is>
      </c>
      <c r="B2" s="11" t="inlineStr">
        <is>
          <t>Replay</t>
        </is>
      </c>
      <c r="C2" s="11" t="inlineStr">
        <is>
          <t>A: Sweep of equal lows 22,295/22,304, reclaim</t>
        </is>
      </c>
      <c r="D2" s="11" t="inlineStr">
        <is>
          <t>Long</t>
        </is>
      </c>
      <c r="E2" s="11" t="inlineStr">
        <is>
          <t>Bearish (HTF down, 12 Oct swept 9 Oct high and closed weak, expiry PCR 0.59)</t>
        </is>
      </c>
      <c r="F2" s="11" t="inlineStr">
        <is>
          <t>Trade below 22,295, then 15m close back above 22,304 + 5m CHoCH + above VWAP</t>
        </is>
      </c>
      <c r="G2" s="11" t="n">
        <v>22330</v>
      </c>
      <c r="H2" s="11" t="n">
        <v>22273</v>
      </c>
      <c r="I2" s="11" t="n">
        <v>22480</v>
      </c>
      <c r="J2" s="11" t="n">
        <v>22640</v>
      </c>
      <c r="K2" s="3" t="inlineStr">
        <is>
          <t>Yes</t>
        </is>
      </c>
      <c r="L2" s="3" t="n">
        <v>22471.4</v>
      </c>
      <c r="M2" s="3" t="n">
        <v>22480</v>
      </c>
      <c r="N2" s="11">
        <f>IF(OR(L2="",M2="",H2=""),"",ROUND((M2-L2)/(L2-H2),2))</f>
        <v/>
      </c>
      <c r="O2" s="11" t="inlineStr">
        <is>
          <t>Real 5m data: sweep to 22,288.70 and reclaim happened inside the 09:15 candle. First 15m close above 22,304 = 22,471.40 (09:30). Stop 22,273 = risk 198. T1 22,480 hit at once (+0.04R); T2 22,640 hit 14:40 (+0.85R). Never near the stop</t>
        </is>
      </c>
      <c r="Q2" t="inlineStr">
        <is>
          <t>Trades taken</t>
        </is>
      </c>
      <c r="R2">
        <f>COUNTIFS(B2:B200,"Live",N2:N200,"&gt;-1E9")</f>
        <v/>
      </c>
    </row>
    <row r="3">
      <c r="A3" s="11" t="inlineStr">
        <is>
          <t>2026-10-13</t>
        </is>
      </c>
      <c r="B3" s="11" t="inlineStr">
        <is>
          <t>Replay</t>
        </is>
      </c>
      <c r="C3" s="11" t="inlineStr">
        <is>
          <t>B1: Rejection from 12 Oct supply 22,450-22,593</t>
        </is>
      </c>
      <c r="D3" s="11" t="inlineStr">
        <is>
          <t>Short</t>
        </is>
      </c>
      <c r="E3" s="11" t="inlineStr">
        <is>
          <t>Same</t>
        </is>
      </c>
      <c r="F3" s="11" t="inlineStr">
        <is>
          <t>15m rejection candle inside 22,450-22,593 with 22,500/22,600 call OI rising</t>
        </is>
      </c>
      <c r="G3" s="11" t="n">
        <v>22520</v>
      </c>
      <c r="H3" s="11" t="n">
        <v>22660</v>
      </c>
      <c r="I3" s="11" t="n">
        <v>22320</v>
      </c>
      <c r="J3" s="11" t="n">
        <v>22220</v>
      </c>
      <c r="K3" s="3" t="inlineStr">
        <is>
          <t>Unverified</t>
        </is>
      </c>
      <c r="L3" s="3" t="n"/>
      <c r="M3" s="3" t="n"/>
      <c r="N3" s="11">
        <f>IF(OR(L3="",M3="",H3=""),"",ROUND((M3-L3)/(L3-H3),2))</f>
        <v/>
      </c>
      <c r="O3" s="11" t="inlineStr">
        <is>
          <t>Price chopped 22,480-22,590 from 09:45 to 14:00; any short there was stopped at 22,660 at 14:40 (-1R). "Rejection candle" is subjective: that is the problem</t>
        </is>
      </c>
      <c r="Q3" t="inlineStr">
        <is>
          <t>Wins</t>
        </is>
      </c>
      <c r="R3">
        <f>COUNTIFS(B2:B200,"Live",N2:N200,"&gt;0")</f>
        <v/>
      </c>
    </row>
    <row r="4">
      <c r="A4" s="11" t="inlineStr">
        <is>
          <t>2026-10-13</t>
        </is>
      </c>
      <c r="B4" s="11" t="inlineStr">
        <is>
          <t>Replay</t>
        </is>
      </c>
      <c r="C4" s="11" t="inlineStr">
        <is>
          <t>B2: Raid of PDH 22,651, then reject</t>
        </is>
      </c>
      <c r="D4" s="11" t="inlineStr">
        <is>
          <t>Short</t>
        </is>
      </c>
      <c r="E4" s="11" t="inlineStr">
        <is>
          <t>Same</t>
        </is>
      </c>
      <c r="F4" s="11" t="inlineStr">
        <is>
          <t>Trade above 22,651, then 15m close back below 22,651</t>
        </is>
      </c>
      <c r="G4" s="11" t="n">
        <v>22640</v>
      </c>
      <c r="H4" s="11" t="n">
        <v>22740</v>
      </c>
      <c r="I4" s="11" t="n">
        <v>22450</v>
      </c>
      <c r="J4" s="11" t="n">
        <v>22310</v>
      </c>
      <c r="K4" s="3" t="inlineStr">
        <is>
          <t>No</t>
        </is>
      </c>
      <c r="L4" s="3" t="n"/>
      <c r="M4" s="3" t="n"/>
      <c r="N4" s="11">
        <f>IF(OR(L4="",M4="",H4=""),"",ROUND((M4-L4)/(L4-H4),2))</f>
        <v/>
      </c>
      <c r="O4" s="11" t="inlineStr">
        <is>
          <t>Raid happened (22,722) but the day closed at the high: no close back below, so the confirmation kept you out</t>
        </is>
      </c>
      <c r="Q4" t="inlineStr">
        <is>
          <t>Losses</t>
        </is>
      </c>
      <c r="R4">
        <f>COUNTIFS(B2:B200,"Live",N2:N200,"&lt;=0")</f>
        <v/>
      </c>
    </row>
    <row r="5">
      <c r="A5" s="11" t="inlineStr">
        <is>
          <t>2026-10-13</t>
        </is>
      </c>
      <c r="B5" s="11" t="inlineStr">
        <is>
          <t>Replay</t>
        </is>
      </c>
      <c r="C5" s="11" t="inlineStr">
        <is>
          <t>C: Range 22,300-22,600 (straddle 22,237-22,563, max pain 22,400)</t>
        </is>
      </c>
      <c r="D5" s="11" t="inlineStr">
        <is>
          <t>None</t>
        </is>
      </c>
      <c r="E5" s="11" t="inlineStr">
        <is>
          <t>Same</t>
        </is>
      </c>
      <c r="F5" s="11" t="inlineStr">
        <is>
          <t>Fade edges only after sweep + reclaim</t>
        </is>
      </c>
      <c r="G5" s="11" t="n"/>
      <c r="H5" s="11" t="n"/>
      <c r="I5" s="11" t="n"/>
      <c r="J5" s="11" t="n"/>
      <c r="K5" s="3" t="inlineStr">
        <is>
          <t>No</t>
        </is>
      </c>
      <c r="L5" s="3" t="n"/>
      <c r="M5" s="3" t="n"/>
      <c r="N5" s="11">
        <f>IF(OR(L5="",M5="",H5=""),"",ROUND((M5-L5)/(L5-H5),2))</f>
        <v/>
      </c>
      <c r="O5" s="11" t="inlineStr">
        <is>
          <t>Range broke upward. Expiry-day call writing at 22,400-22,700 was squeezed: high call OI was NOT resistance</t>
        </is>
      </c>
      <c r="Q5" t="inlineStr">
        <is>
          <t>Win rate</t>
        </is>
      </c>
      <c r="R5" s="12">
        <f>IFERROR(R3/R2,"")</f>
        <v/>
      </c>
    </row>
    <row r="6">
      <c r="A6" s="11" t="inlineStr">
        <is>
          <t>2026-10-13</t>
        </is>
      </c>
      <c r="B6" s="11" t="inlineStr">
        <is>
          <t>Replay</t>
        </is>
      </c>
      <c r="C6" s="11" t="inlineStr">
        <is>
          <t>D: 5m sweep rule (mechanical, see Intraday Backtest)</t>
        </is>
      </c>
      <c r="D6" s="11" t="inlineStr">
        <is>
          <t>Long</t>
        </is>
      </c>
      <c r="E6" s="11" t="inlineStr">
        <is>
          <t>-</t>
        </is>
      </c>
      <c r="F6" s="11" t="inlineStr">
        <is>
          <t>5m candle trades below PDL 22,304.45 and closes back above it</t>
        </is>
      </c>
      <c r="G6" s="11" t="n">
        <v>22436.95</v>
      </c>
      <c r="H6" s="11" t="n">
        <v>22283.7</v>
      </c>
      <c r="I6" s="11" t="n">
        <v>22743.45</v>
      </c>
      <c r="J6" s="11" t="n"/>
      <c r="K6" s="11" t="inlineStr">
        <is>
          <t>Yes</t>
        </is>
      </c>
      <c r="L6" s="11" t="n">
        <v>22436.95</v>
      </c>
      <c r="M6" s="11" t="n">
        <v>22699.25</v>
      </c>
      <c r="N6" s="11">
        <f>IF(OR(L6="",M6="",H6=""),"",ROUND((M6-L6)/(L6-H6),2))</f>
        <v/>
      </c>
      <c r="O6" s="11" t="inlineStr">
        <is>
          <t>Entry 09:15 candle close. Risk 153 pts: SKIPPED under the 80-pt cap. Without the cap: exit 15:10 at 22,699.25 = +1.7R</t>
        </is>
      </c>
      <c r="P6" s="11" t="n"/>
      <c r="Q6" t="inlineStr">
        <is>
          <t>Avg win (R)</t>
        </is>
      </c>
      <c r="R6">
        <f>IFERROR(AVERAGEIFS(N2:N200,B2:B200,"Live",N2:N200,"&gt;0"),"")</f>
        <v/>
      </c>
    </row>
    <row r="7">
      <c r="A7" s="2" t="inlineStr">
        <is>
          <t>2026-10-14</t>
        </is>
      </c>
      <c r="B7" s="2" t="inlineStr">
        <is>
          <t>Live</t>
        </is>
      </c>
      <c r="C7" s="2" t="inlineStr">
        <is>
          <t>A: Pullback into 22,480-22,600 demand after 13 Oct sweep</t>
        </is>
      </c>
      <c r="D7" s="2" t="inlineStr">
        <is>
          <t>Long</t>
        </is>
      </c>
      <c r="E7" s="2" t="inlineStr">
        <is>
          <t>Weak bearish, reversal attempt</t>
        </is>
      </c>
      <c r="F7" s="2" t="inlineStr">
        <is>
          <t>All in order: (1) pullback into 22,480-22,600, no 15m close below 22,430; (2) 15m close above last 15m swing high (2 bars each side); (3) 5m close above NIFTY futures VWAP. Enter at close of the 5m candle completing (3), never before. Skip if fill &gt; 22,600 or a gap above 22,776</t>
        </is>
      </c>
      <c r="G7" s="2" t="n">
        <v>22550</v>
      </c>
      <c r="H7" s="2" t="n">
        <v>22430</v>
      </c>
      <c r="I7" s="2" t="n">
        <v>22770</v>
      </c>
      <c r="J7" s="2" t="n">
        <v>22990</v>
      </c>
      <c r="K7" s="3" t="n"/>
      <c r="L7" s="3" t="n"/>
      <c r="M7" s="3" t="n"/>
      <c r="N7" s="2">
        <f>IF(OR(L7="",M7="",H7=""),"",ROUND((M7-L7)/(L7-H7),2))</f>
        <v/>
      </c>
      <c r="O7" s="2" t="inlineStr">
        <is>
          <t>Pre-registered 13 Oct 21:00 IST</t>
        </is>
      </c>
      <c r="Q7" t="inlineStr">
        <is>
          <t>Avg loss (R)</t>
        </is>
      </c>
      <c r="R7">
        <f>IFERROR(AVERAGEIFS(N2:N200,B2:B200,"Live",N2:N200,"&lt;=0"),"")</f>
        <v/>
      </c>
    </row>
    <row r="8">
      <c r="A8" s="2" t="inlineStr">
        <is>
          <t>2026-10-14</t>
        </is>
      </c>
      <c r="B8" s="2" t="inlineStr">
        <is>
          <t>Live</t>
        </is>
      </c>
      <c r="C8" s="2" t="inlineStr">
        <is>
          <t>B: Raid of 22,776/22,809, then reject</t>
        </is>
      </c>
      <c r="D8" s="2" t="inlineStr">
        <is>
          <t>Short</t>
        </is>
      </c>
      <c r="E8" s="2" t="inlineStr">
        <is>
          <t>Weak bearish, reversal attempt</t>
        </is>
      </c>
      <c r="F8" s="2" t="inlineStr">
        <is>
          <t>All in order: (1) trade above 22,809; (2) 15m close back below 22,776; (3) 5m close below last 5m swing low; (4) 5m close below NIFTY futures VWAP. Enter at close of the 5m candle completing the last condition, never before. Skip if stop &gt; 22,960</t>
        </is>
      </c>
      <c r="G8" s="2" t="n">
        <v>22800</v>
      </c>
      <c r="H8" s="2" t="n">
        <v>22960</v>
      </c>
      <c r="I8" s="2" t="n">
        <v>22520</v>
      </c>
      <c r="J8" s="2" t="n">
        <v>22310</v>
      </c>
      <c r="K8" s="3" t="n"/>
      <c r="L8" s="3" t="n"/>
      <c r="M8" s="3" t="n"/>
      <c r="N8" s="2">
        <f>IF(OR(L8="",M8="",H8=""),"",ROUND((M8-L8)/(L8-H8),2))</f>
        <v/>
      </c>
      <c r="O8" s="2" t="inlineStr">
        <is>
          <t>Stop = raid high + 15-20 pts, max 22,960 (skip if wider). Overwrite Stop with the real one</t>
        </is>
      </c>
      <c r="Q8" t="inlineStr">
        <is>
          <t>Expectancy (R/trade)</t>
        </is>
      </c>
      <c r="R8">
        <f>IFERROR(AVERAGEIFS(N2:N200,B2:B200,"Live",N2:N200,"&gt;-1E9"),"")</f>
        <v/>
      </c>
    </row>
    <row r="9">
      <c r="A9" s="2" t="inlineStr">
        <is>
          <t>2026-10-14</t>
        </is>
      </c>
      <c r="B9" s="2" t="inlineStr">
        <is>
          <t>Live</t>
        </is>
      </c>
      <c r="C9" s="2" t="inlineStr">
        <is>
          <t>C: Range 22,480-22,810</t>
        </is>
      </c>
      <c r="D9" s="2" t="inlineStr">
        <is>
          <t>None</t>
        </is>
      </c>
      <c r="E9" s="2" t="inlineStr">
        <is>
          <t>Weak bearish, reversal attempt</t>
        </is>
      </c>
      <c r="F9" s="2" t="inlineStr">
        <is>
          <t>No trade at 22,600-22,700, first 15 min, gap &gt;130 pts without retest, VIX &gt;16</t>
        </is>
      </c>
      <c r="G9" s="2" t="n"/>
      <c r="H9" s="2" t="n"/>
      <c r="I9" s="2" t="n"/>
      <c r="J9" s="2" t="n"/>
      <c r="K9" s="3" t="n"/>
      <c r="L9" s="3" t="n"/>
      <c r="M9" s="3" t="n"/>
      <c r="N9" s="2">
        <f>IF(OR(L9="",M9="",H9=""),"",ROUND((M9-L9)/(L9-H9),2))</f>
        <v/>
      </c>
      <c r="O9" s="2" t="inlineStr">
        <is>
          <t>Breakout: 15m acceptance above 22,810 or below 22,480 with OI unwinding</t>
        </is>
      </c>
      <c r="Q9" t="inlineStr">
        <is>
          <t>Total R</t>
        </is>
      </c>
      <c r="R9">
        <f>SUMIFS(N2:N200,B2:B200,"Live")</f>
        <v/>
      </c>
    </row>
    <row r="10">
      <c r="A10" s="2" t="inlineStr">
        <is>
          <t>2026-10-14</t>
        </is>
      </c>
      <c r="B10" s="2" t="inlineStr">
        <is>
          <t>Live</t>
        </is>
      </c>
      <c r="C10" s="2" t="inlineStr">
        <is>
          <t>D: 5m sweep rule (mechanical)</t>
        </is>
      </c>
      <c r="D10" s="2" t="inlineStr">
        <is>
          <t>Long/Short</t>
        </is>
      </c>
      <c r="E10" s="2" t="inlineStr">
        <is>
          <t>-</t>
        </is>
      </c>
      <c r="F10" s="2" t="inlineStr">
        <is>
          <t>5m candle trades &gt;1 pt beyond PDH/PDL/ORH/ORL/5m swing and closes back inside. Entry at close, stop wick+5, target 2R, exit 15:10, max 3/day, skip risk &gt;80</t>
        </is>
      </c>
      <c r="G10" s="2" t="n"/>
      <c r="H10" s="2" t="n"/>
      <c r="I10" s="2" t="n"/>
      <c r="J10" s="2" t="n"/>
      <c r="K10" s="3" t="n"/>
      <c r="L10" s="3" t="n"/>
      <c r="M10" s="3" t="n"/>
      <c r="N10" s="2" t="n"/>
      <c r="O10" s="2" t="inlineStr">
        <is>
          <t>Log every signal. Backtest says this rule has NO edge as is (see Intraday Backtest)</t>
        </is>
      </c>
      <c r="Q10" t="inlineStr">
        <is>
          <t>Profit factor</t>
        </is>
      </c>
      <c r="R10">
        <f>IFERROR(SUMIFS(N2:N200,B2:B200,"Live",N2:N200,"&gt;0")/-SUMIFS(N2:N200,B2:B200,"Live",N2:N200,"&lt;0"),"")</f>
        <v/>
      </c>
    </row>
    <row r="11">
      <c r="K11" s="13" t="n"/>
      <c r="L11" s="13" t="n"/>
      <c r="M11" s="13" t="n"/>
      <c r="N11">
        <f>IF(OR(L11="",M11="",H11=""),"",ROUND((M11-L11)/(L11-H11),2))</f>
        <v/>
      </c>
      <c r="Q11" t="inlineStr">
        <is>
          <t>Sample OK?</t>
        </is>
      </c>
      <c r="R11">
        <f>IF(R2&gt;=30,"Yes","No - need 30+ trades")</f>
        <v/>
      </c>
    </row>
    <row r="12">
      <c r="K12" s="13" t="n"/>
      <c r="L12" s="13" t="n"/>
      <c r="M12" s="13" t="n"/>
      <c r="N12">
        <f>IF(OR(L12="",M12="",H12=""),"",ROUND((M12-L12)/(L12-H12),2))</f>
        <v/>
      </c>
    </row>
    <row r="13">
      <c r="K13" s="13" t="n"/>
      <c r="L13" s="13" t="n"/>
      <c r="M13" s="13" t="n"/>
      <c r="N13">
        <f>IF(OR(L13="",M13="",H13=""),"",ROUND((M13-L13)/(L13-H13),2))</f>
        <v/>
      </c>
    </row>
    <row r="14">
      <c r="K14" s="13" t="n"/>
      <c r="L14" s="13" t="n"/>
      <c r="M14" s="13" t="n"/>
      <c r="N14">
        <f>IF(OR(L14="",M14="",H14=""),"",ROUND((M14-L14)/(L14-H14),2))</f>
        <v/>
      </c>
    </row>
    <row r="15">
      <c r="K15" s="13" t="n"/>
      <c r="L15" s="13" t="n"/>
      <c r="M15" s="13" t="n"/>
      <c r="N15">
        <f>IF(OR(L15="",M15="",H15=""),"",ROUND((M15-L15)/(L15-H15),2))</f>
        <v/>
      </c>
    </row>
    <row r="16">
      <c r="K16" s="13" t="n"/>
      <c r="L16" s="13" t="n"/>
      <c r="M16" s="13" t="n"/>
      <c r="N16">
        <f>IF(OR(L16="",M16="",H16=""),"",ROUND((M16-L16)/(L16-H16),2))</f>
        <v/>
      </c>
    </row>
    <row r="17">
      <c r="K17" s="13" t="n"/>
      <c r="L17" s="13" t="n"/>
      <c r="M17" s="13" t="n"/>
      <c r="N17">
        <f>IF(OR(L17="",M17="",H17=""),"",ROUND((M17-L17)/(L17-H17),2))</f>
        <v/>
      </c>
    </row>
    <row r="18">
      <c r="K18" s="13" t="n"/>
      <c r="L18" s="13" t="n"/>
      <c r="M18" s="13" t="n"/>
      <c r="N18">
        <f>IF(OR(L18="",M18="",H18=""),"",ROUND((M18-L18)/(L18-H18),2))</f>
        <v/>
      </c>
    </row>
    <row r="19">
      <c r="K19" s="13" t="n"/>
      <c r="L19" s="13" t="n"/>
      <c r="M19" s="13" t="n"/>
      <c r="N19">
        <f>IF(OR(L19="",M19="",H19=""),"",ROUND((M19-L19)/(L19-H19),2))</f>
        <v/>
      </c>
    </row>
    <row r="20">
      <c r="K20" s="13" t="n"/>
      <c r="L20" s="13" t="n"/>
      <c r="M20" s="13" t="n"/>
      <c r="N20">
        <f>IF(OR(L20="",M20="",H20=""),"",ROUND((M20-L20)/(L20-H20),2))</f>
        <v/>
      </c>
    </row>
    <row r="21">
      <c r="K21" s="13" t="n"/>
      <c r="L21" s="13" t="n"/>
      <c r="M21" s="13" t="n"/>
      <c r="N21">
        <f>IF(OR(L21="",M21="",H21=""),"",ROUND((M21-L21)/(L21-H21),2))</f>
        <v/>
      </c>
    </row>
    <row r="22">
      <c r="K22" s="13" t="n"/>
      <c r="L22" s="13" t="n"/>
      <c r="M22" s="13" t="n"/>
      <c r="N22">
        <f>IF(OR(L22="",M22="",H22=""),"",ROUND((M22-L22)/(L22-H22),2))</f>
        <v/>
      </c>
    </row>
    <row r="23">
      <c r="K23" s="13" t="n"/>
      <c r="L23" s="13" t="n"/>
      <c r="M23" s="13" t="n"/>
      <c r="N23">
        <f>IF(OR(L23="",M23="",H23=""),"",ROUND((M23-L23)/(L23-H23),2))</f>
        <v/>
      </c>
    </row>
    <row r="24">
      <c r="K24" s="13" t="n"/>
      <c r="L24" s="13" t="n"/>
      <c r="M24" s="13" t="n"/>
      <c r="N24">
        <f>IF(OR(L24="",M24="",H24=""),"",ROUND((M24-L24)/(L24-H24),2))</f>
        <v/>
      </c>
    </row>
    <row r="25">
      <c r="K25" s="13" t="n"/>
      <c r="L25" s="13" t="n"/>
      <c r="M25" s="13" t="n"/>
      <c r="N25">
        <f>IF(OR(L25="",M25="",H25=""),"",ROUND((M25-L25)/(L25-H25),2))</f>
        <v/>
      </c>
    </row>
    <row r="26">
      <c r="K26" s="13" t="n"/>
      <c r="L26" s="13" t="n"/>
      <c r="M26" s="13" t="n"/>
      <c r="N26">
        <f>IF(OR(L26="",M26="",H26=""),"",ROUND((M26-L26)/(L26-H26),2))</f>
        <v/>
      </c>
    </row>
    <row r="27">
      <c r="K27" s="13" t="n"/>
      <c r="L27" s="13" t="n"/>
      <c r="M27" s="13" t="n"/>
      <c r="N27">
        <f>IF(OR(L27="",M27="",H27=""),"",ROUND((M27-L27)/(L27-H27),2))</f>
        <v/>
      </c>
    </row>
    <row r="28">
      <c r="K28" s="13" t="n"/>
      <c r="L28" s="13" t="n"/>
      <c r="M28" s="13" t="n"/>
      <c r="N28">
        <f>IF(OR(L28="",M28="",H28=""),"",ROUND((M28-L28)/(L28-H28),2))</f>
        <v/>
      </c>
    </row>
    <row r="29">
      <c r="K29" s="13" t="n"/>
      <c r="L29" s="13" t="n"/>
      <c r="M29" s="13" t="n"/>
      <c r="N29">
        <f>IF(OR(L29="",M29="",H29=""),"",ROUND((M29-L29)/(L29-H29),2))</f>
        <v/>
      </c>
    </row>
    <row r="30">
      <c r="K30" s="13" t="n"/>
      <c r="L30" s="13" t="n"/>
      <c r="M30" s="13" t="n"/>
      <c r="N30">
        <f>IF(OR(L30="",M30="",H30=""),"",ROUND((M30-L30)/(L30-H30),2))</f>
        <v/>
      </c>
    </row>
    <row r="31">
      <c r="K31" s="13" t="n"/>
      <c r="L31" s="13" t="n"/>
      <c r="M31" s="13" t="n"/>
      <c r="N31">
        <f>IF(OR(L31="",M31="",H31=""),"",ROUND((M31-L31)/(L31-H31),2))</f>
        <v/>
      </c>
    </row>
    <row r="32">
      <c r="K32" s="13" t="n"/>
      <c r="L32" s="13" t="n"/>
      <c r="M32" s="13" t="n"/>
      <c r="N32">
        <f>IF(OR(L32="",M32="",H32=""),"",ROUND((M32-L32)/(L32-H32),2))</f>
        <v/>
      </c>
    </row>
    <row r="33">
      <c r="K33" s="13" t="n"/>
      <c r="L33" s="13" t="n"/>
      <c r="M33" s="13" t="n"/>
      <c r="N33">
        <f>IF(OR(L33="",M33="",H33=""),"",ROUND((M33-L33)/(L33-H33),2))</f>
        <v/>
      </c>
    </row>
    <row r="34">
      <c r="K34" s="13" t="n"/>
      <c r="L34" s="13" t="n"/>
      <c r="M34" s="13" t="n"/>
      <c r="N34">
        <f>IF(OR(L34="",M34="",H34=""),"",ROUND((M34-L34)/(L34-H34),2))</f>
        <v/>
      </c>
    </row>
    <row r="35">
      <c r="K35" s="13" t="n"/>
      <c r="L35" s="13" t="n"/>
      <c r="M35" s="13" t="n"/>
      <c r="N35">
        <f>IF(OR(L35="",M35="",H35=""),"",ROUND((M35-L35)/(L35-H35),2))</f>
        <v/>
      </c>
    </row>
    <row r="36">
      <c r="K36" s="13" t="n"/>
      <c r="L36" s="13" t="n"/>
      <c r="M36" s="13" t="n"/>
      <c r="N36">
        <f>IF(OR(L36="",M36="",H36=""),"",ROUND((M36-L36)/(L36-H36),2))</f>
        <v/>
      </c>
    </row>
    <row r="37">
      <c r="K37" s="13" t="n"/>
      <c r="L37" s="13" t="n"/>
      <c r="M37" s="13" t="n"/>
      <c r="N37">
        <f>IF(OR(L37="",M37="",H37=""),"",ROUND((M37-L37)/(L37-H37),2))</f>
        <v/>
      </c>
    </row>
    <row r="38">
      <c r="K38" s="13" t="n"/>
      <c r="L38" s="13" t="n"/>
      <c r="M38" s="13" t="n"/>
      <c r="N38">
        <f>IF(OR(L38="",M38="",H38=""),"",ROUND((M38-L38)/(L38-H38),2))</f>
        <v/>
      </c>
    </row>
    <row r="39">
      <c r="K39" s="13" t="n"/>
      <c r="L39" s="13" t="n"/>
      <c r="M39" s="13" t="n"/>
      <c r="N39">
        <f>IF(OR(L39="",M39="",H39=""),"",ROUND((M39-L39)/(L39-H39),2))</f>
        <v/>
      </c>
    </row>
    <row r="40">
      <c r="K40" s="13" t="n"/>
      <c r="L40" s="13" t="n"/>
      <c r="M40" s="13" t="n"/>
      <c r="N40">
        <f>IF(OR(L40="",M40="",H40=""),"",ROUND((M40-L40)/(L40-H40),2))</f>
        <v/>
      </c>
    </row>
    <row r="41">
      <c r="K41" s="13" t="n"/>
      <c r="L41" s="13" t="n"/>
      <c r="M41" s="13" t="n"/>
      <c r="N41">
        <f>IF(OR(L41="",M41="",H41=""),"",ROUND((M41-L41)/(L41-H41),2))</f>
        <v/>
      </c>
    </row>
    <row r="42">
      <c r="K42" s="13" t="n"/>
      <c r="L42" s="13" t="n"/>
      <c r="M42" s="13" t="n"/>
      <c r="N42">
        <f>IF(OR(L42="",M42="",H42=""),"",ROUND((M42-L42)/(L42-H42),2))</f>
        <v/>
      </c>
    </row>
    <row r="43">
      <c r="K43" s="13" t="n"/>
      <c r="L43" s="13" t="n"/>
      <c r="M43" s="13" t="n"/>
      <c r="N43">
        <f>IF(OR(L43="",M43="",H43=""),"",ROUND((M43-L43)/(L43-H43),2))</f>
        <v/>
      </c>
    </row>
    <row r="44">
      <c r="K44" s="13" t="n"/>
      <c r="L44" s="13" t="n"/>
      <c r="M44" s="13" t="n"/>
      <c r="N44">
        <f>IF(OR(L44="",M44="",H44=""),"",ROUND((M44-L44)/(L44-H44),2))</f>
        <v/>
      </c>
    </row>
    <row r="45">
      <c r="K45" s="13" t="n"/>
      <c r="L45" s="13" t="n"/>
      <c r="M45" s="13" t="n"/>
      <c r="N45">
        <f>IF(OR(L45="",M45="",H45=""),"",ROUND((M45-L45)/(L45-H45),2))</f>
        <v/>
      </c>
    </row>
    <row r="46">
      <c r="K46" s="13" t="n"/>
      <c r="L46" s="13" t="n"/>
      <c r="M46" s="13" t="n"/>
      <c r="N46">
        <f>IF(OR(L46="",M46="",H46=""),"",ROUND((M46-L46)/(L46-H46),2))</f>
        <v/>
      </c>
    </row>
    <row r="47">
      <c r="K47" s="13" t="n"/>
      <c r="L47" s="13" t="n"/>
      <c r="M47" s="13" t="n"/>
      <c r="N47">
        <f>IF(OR(L47="",M47="",H47=""),"",ROUND((M47-L47)/(L47-H47),2))</f>
        <v/>
      </c>
    </row>
    <row r="48">
      <c r="K48" s="13" t="n"/>
      <c r="L48" s="13" t="n"/>
      <c r="M48" s="13" t="n"/>
      <c r="N48">
        <f>IF(OR(L48="",M48="",H48=""),"",ROUND((M48-L48)/(L48-H48),2))</f>
        <v/>
      </c>
    </row>
    <row r="49">
      <c r="K49" s="13" t="n"/>
      <c r="L49" s="13" t="n"/>
      <c r="M49" s="13" t="n"/>
      <c r="N49">
        <f>IF(OR(L49="",M49="",H49=""),"",ROUND((M49-L49)/(L49-H49),2))</f>
        <v/>
      </c>
    </row>
    <row r="50">
      <c r="K50" s="13" t="n"/>
      <c r="L50" s="13" t="n"/>
      <c r="M50" s="13" t="n"/>
      <c r="N50">
        <f>IF(OR(L50="",M50="",H50=""),"",ROUND((M50-L50)/(L50-H50),2))</f>
        <v/>
      </c>
    </row>
    <row r="51">
      <c r="K51" s="13" t="n"/>
      <c r="L51" s="13" t="n"/>
      <c r="M51" s="13" t="n"/>
      <c r="N51">
        <f>IF(OR(L51="",M51="",H51=""),"",ROUND((M51-L51)/(L51-H51),2))</f>
        <v/>
      </c>
    </row>
    <row r="52">
      <c r="K52" s="13" t="n"/>
      <c r="L52" s="13" t="n"/>
      <c r="M52" s="13" t="n"/>
      <c r="N52">
        <f>IF(OR(L52="",M52="",H52=""),"",ROUND((M52-L52)/(L52-H52),2))</f>
        <v/>
      </c>
    </row>
    <row r="53">
      <c r="K53" s="13" t="n"/>
      <c r="L53" s="13" t="n"/>
      <c r="M53" s="13" t="n"/>
      <c r="N53">
        <f>IF(OR(L53="",M53="",H53=""),"",ROUND((M53-L53)/(L53-H53),2))</f>
        <v/>
      </c>
    </row>
    <row r="54">
      <c r="K54" s="13" t="n"/>
      <c r="L54" s="13" t="n"/>
      <c r="M54" s="13" t="n"/>
      <c r="N54">
        <f>IF(OR(L54="",M54="",H54=""),"",ROUND((M54-L54)/(L54-H54),2))</f>
        <v/>
      </c>
    </row>
    <row r="55">
      <c r="K55" s="13" t="n"/>
      <c r="L55" s="13" t="n"/>
      <c r="M55" s="13" t="n"/>
      <c r="N55">
        <f>IF(OR(L55="",M55="",H55=""),"",ROUND((M55-L55)/(L55-H55),2))</f>
        <v/>
      </c>
    </row>
    <row r="56">
      <c r="K56" s="13" t="n"/>
      <c r="L56" s="13" t="n"/>
      <c r="M56" s="13" t="n"/>
      <c r="N56">
        <f>IF(OR(L56="",M56="",H56=""),"",ROUND((M56-L56)/(L56-H56),2))</f>
        <v/>
      </c>
    </row>
    <row r="57">
      <c r="K57" s="13" t="n"/>
      <c r="L57" s="13" t="n"/>
      <c r="M57" s="13" t="n"/>
      <c r="N57">
        <f>IF(OR(L57="",M57="",H57=""),"",ROUND((M57-L57)/(L57-H57),2))</f>
        <v/>
      </c>
    </row>
    <row r="58">
      <c r="K58" s="13" t="n"/>
      <c r="L58" s="13" t="n"/>
      <c r="M58" s="13" t="n"/>
      <c r="N58">
        <f>IF(OR(L58="",M58="",H58=""),"",ROUND((M58-L58)/(L58-H58),2))</f>
        <v/>
      </c>
    </row>
    <row r="59">
      <c r="K59" s="13" t="n"/>
      <c r="L59" s="13" t="n"/>
      <c r="M59" s="13" t="n"/>
      <c r="N59">
        <f>IF(OR(L59="",M59="",H59=""),"",ROUND((M59-L59)/(L59-H59),2))</f>
        <v/>
      </c>
    </row>
    <row r="60">
      <c r="K60" s="13" t="n"/>
      <c r="L60" s="13" t="n"/>
      <c r="M60" s="13" t="n"/>
      <c r="N60">
        <f>IF(OR(L60="",M60="",H60=""),"",ROUND((M60-L60)/(L60-H60),2))</f>
        <v/>
      </c>
    </row>
    <row r="61">
      <c r="K61" s="13" t="n"/>
      <c r="L61" s="13" t="n"/>
      <c r="M61" s="13" t="n"/>
      <c r="N61">
        <f>IF(OR(L61="",M61="",H61=""),"",ROUND((M61-L61)/(L61-H61),2))</f>
        <v/>
      </c>
    </row>
    <row r="62">
      <c r="K62" s="13" t="n"/>
      <c r="L62" s="13" t="n"/>
      <c r="M62" s="13" t="n"/>
      <c r="N62">
        <f>IF(OR(L62="",M62="",H62=""),"",ROUND((M62-L62)/(L62-H62),2))</f>
        <v/>
      </c>
    </row>
    <row r="63">
      <c r="K63" s="13" t="n"/>
      <c r="L63" s="13" t="n"/>
      <c r="M63" s="13" t="n"/>
      <c r="N63">
        <f>IF(OR(L63="",M63="",H63=""),"",ROUND((M63-L63)/(L63-H63),2))</f>
        <v/>
      </c>
    </row>
    <row r="64">
      <c r="K64" s="13" t="n"/>
      <c r="L64" s="13" t="n"/>
      <c r="M64" s="13" t="n"/>
      <c r="N64">
        <f>IF(OR(L64="",M64="",H64=""),"",ROUND((M64-L64)/(L64-H64),2))</f>
        <v/>
      </c>
    </row>
    <row r="65">
      <c r="K65" s="13" t="n"/>
      <c r="L65" s="13" t="n"/>
      <c r="M65" s="13" t="n"/>
      <c r="N65">
        <f>IF(OR(L65="",M65="",H65=""),"",ROUND((M65-L65)/(L65-H65),2))</f>
        <v/>
      </c>
    </row>
    <row r="66">
      <c r="K66" s="13" t="n"/>
      <c r="L66" s="13" t="n"/>
      <c r="M66" s="13" t="n"/>
      <c r="N66">
        <f>IF(OR(L66="",M66="",H66=""),"",ROUND((M66-L66)/(L66-H66),2))</f>
        <v/>
      </c>
    </row>
    <row r="67">
      <c r="K67" s="13" t="n"/>
      <c r="L67" s="13" t="n"/>
      <c r="M67" s="13" t="n"/>
      <c r="N67">
        <f>IF(OR(L67="",M67="",H67=""),"",ROUND((M67-L67)/(L67-H67),2))</f>
        <v/>
      </c>
    </row>
    <row r="68">
      <c r="K68" s="13" t="n"/>
      <c r="L68" s="13" t="n"/>
      <c r="M68" s="13" t="n"/>
      <c r="N68">
        <f>IF(OR(L68="",M68="",H68=""),"",ROUND((M68-L68)/(L68-H68),2))</f>
        <v/>
      </c>
    </row>
    <row r="69">
      <c r="K69" s="13" t="n"/>
      <c r="L69" s="13" t="n"/>
      <c r="M69" s="13" t="n"/>
      <c r="N69">
        <f>IF(OR(L69="",M69="",H69=""),"",ROUND((M69-L69)/(L69-H69),2))</f>
        <v/>
      </c>
    </row>
    <row r="70">
      <c r="K70" s="13" t="n"/>
      <c r="L70" s="13" t="n"/>
      <c r="M70" s="13" t="n"/>
      <c r="N70">
        <f>IF(OR(L70="",M70="",H70=""),"",ROUND((M70-L70)/(L70-H70),2))</f>
        <v/>
      </c>
    </row>
    <row r="71">
      <c r="K71" s="13" t="n"/>
      <c r="L71" s="13" t="n"/>
      <c r="M71" s="13" t="n"/>
      <c r="N71">
        <f>IF(OR(L71="",M71="",H71=""),"",ROUND((M71-L71)/(L71-H71),2))</f>
        <v/>
      </c>
    </row>
    <row r="72">
      <c r="K72" s="13" t="n"/>
      <c r="L72" s="13" t="n"/>
      <c r="M72" s="13" t="n"/>
      <c r="N72">
        <f>IF(OR(L72="",M72="",H72=""),"",ROUND((M72-L72)/(L72-H72),2))</f>
        <v/>
      </c>
    </row>
    <row r="73">
      <c r="K73" s="13" t="n"/>
      <c r="L73" s="13" t="n"/>
      <c r="M73" s="13" t="n"/>
      <c r="N73">
        <f>IF(OR(L73="",M73="",H73=""),"",ROUND((M73-L73)/(L73-H73),2))</f>
        <v/>
      </c>
    </row>
    <row r="74">
      <c r="K74" s="13" t="n"/>
      <c r="L74" s="13" t="n"/>
      <c r="M74" s="13" t="n"/>
      <c r="N74">
        <f>IF(OR(L74="",M74="",H74=""),"",ROUND((M74-L74)/(L74-H74),2))</f>
        <v/>
      </c>
    </row>
    <row r="75">
      <c r="K75" s="13" t="n"/>
      <c r="L75" s="13" t="n"/>
      <c r="M75" s="13" t="n"/>
      <c r="N75">
        <f>IF(OR(L75="",M75="",H75=""),"",ROUND((M75-L75)/(L75-H75),2))</f>
        <v/>
      </c>
    </row>
    <row r="76">
      <c r="K76" s="13" t="n"/>
      <c r="L76" s="13" t="n"/>
      <c r="M76" s="13" t="n"/>
      <c r="N76">
        <f>IF(OR(L76="",M76="",H76=""),"",ROUND((M76-L76)/(L76-H76),2))</f>
        <v/>
      </c>
    </row>
    <row r="77">
      <c r="K77" s="13" t="n"/>
      <c r="L77" s="13" t="n"/>
      <c r="M77" s="13" t="n"/>
      <c r="N77">
        <f>IF(OR(L77="",M77="",H77=""),"",ROUND((M77-L77)/(L77-H77),2))</f>
        <v/>
      </c>
    </row>
    <row r="78">
      <c r="K78" s="13" t="n"/>
      <c r="L78" s="13" t="n"/>
      <c r="M78" s="13" t="n"/>
      <c r="N78">
        <f>IF(OR(L78="",M78="",H78=""),"",ROUND((M78-L78)/(L78-H78),2))</f>
        <v/>
      </c>
    </row>
    <row r="79">
      <c r="K79" s="13" t="n"/>
      <c r="L79" s="13" t="n"/>
      <c r="M79" s="13" t="n"/>
      <c r="N79">
        <f>IF(OR(L79="",M79="",H79=""),"",ROUND((M79-L79)/(L79-H79),2))</f>
        <v/>
      </c>
    </row>
    <row r="80">
      <c r="K80" s="13" t="n"/>
      <c r="L80" s="13" t="n"/>
      <c r="M80" s="13" t="n"/>
      <c r="N80">
        <f>IF(OR(L80="",M80="",H80=""),"",ROUND((M80-L80)/(L80-H80),2))</f>
        <v/>
      </c>
    </row>
    <row r="81">
      <c r="K81" s="13" t="n"/>
      <c r="L81" s="13" t="n"/>
      <c r="M81" s="13" t="n"/>
      <c r="N81">
        <f>IF(OR(L81="",M81="",H81=""),"",ROUND((M81-L81)/(L81-H81),2))</f>
        <v/>
      </c>
    </row>
    <row r="82">
      <c r="K82" s="13" t="n"/>
      <c r="L82" s="13" t="n"/>
      <c r="M82" s="13" t="n"/>
      <c r="N82">
        <f>IF(OR(L82="",M82="",H82=""),"",ROUND((M82-L82)/(L82-H82),2))</f>
        <v/>
      </c>
    </row>
    <row r="83">
      <c r="K83" s="13" t="n"/>
      <c r="L83" s="13" t="n"/>
      <c r="M83" s="13" t="n"/>
      <c r="N83">
        <f>IF(OR(L83="",M83="",H83=""),"",ROUND((M83-L83)/(L83-H83),2))</f>
        <v/>
      </c>
    </row>
    <row r="84">
      <c r="K84" s="13" t="n"/>
      <c r="L84" s="13" t="n"/>
      <c r="M84" s="13" t="n"/>
      <c r="N84">
        <f>IF(OR(L84="",M84="",H84=""),"",ROUND((M84-L84)/(L84-H84),2))</f>
        <v/>
      </c>
    </row>
    <row r="85">
      <c r="K85" s="13" t="n"/>
      <c r="L85" s="13" t="n"/>
      <c r="M85" s="13" t="n"/>
      <c r="N85">
        <f>IF(OR(L85="",M85="",H85=""),"",ROUND((M85-L85)/(L85-H85),2))</f>
        <v/>
      </c>
    </row>
    <row r="86">
      <c r="K86" s="13" t="n"/>
      <c r="L86" s="13" t="n"/>
      <c r="M86" s="13" t="n"/>
      <c r="N86">
        <f>IF(OR(L86="",M86="",H86=""),"",ROUND((M86-L86)/(L86-H86),2))</f>
        <v/>
      </c>
    </row>
    <row r="87">
      <c r="K87" s="13" t="n"/>
      <c r="L87" s="13" t="n"/>
      <c r="M87" s="13" t="n"/>
      <c r="N87">
        <f>IF(OR(L87="",M87="",H87=""),"",ROUND((M87-L87)/(L87-H87),2))</f>
        <v/>
      </c>
    </row>
    <row r="88">
      <c r="K88" s="13" t="n"/>
      <c r="L88" s="13" t="n"/>
      <c r="M88" s="13" t="n"/>
      <c r="N88">
        <f>IF(OR(L88="",M88="",H88=""),"",ROUND((M88-L88)/(L88-H88),2))</f>
        <v/>
      </c>
    </row>
    <row r="89">
      <c r="K89" s="13" t="n"/>
      <c r="L89" s="13" t="n"/>
      <c r="M89" s="13" t="n"/>
      <c r="N89">
        <f>IF(OR(L89="",M89="",H89=""),"",ROUND((M89-L89)/(L89-H89),2))</f>
        <v/>
      </c>
    </row>
    <row r="90">
      <c r="K90" s="13" t="n"/>
      <c r="L90" s="13" t="n"/>
      <c r="M90" s="13" t="n"/>
      <c r="N90">
        <f>IF(OR(L90="",M90="",H90=""),"",ROUND((M90-L90)/(L90-H90),2))</f>
        <v/>
      </c>
    </row>
    <row r="91">
      <c r="K91" s="13" t="n"/>
      <c r="L91" s="13" t="n"/>
      <c r="M91" s="13" t="n"/>
      <c r="N91">
        <f>IF(OR(L91="",M91="",H91=""),"",ROUND((M91-L91)/(L91-H91),2))</f>
        <v/>
      </c>
    </row>
    <row r="92">
      <c r="K92" s="13" t="n"/>
      <c r="L92" s="13" t="n"/>
      <c r="M92" s="13" t="n"/>
      <c r="N92">
        <f>IF(OR(L92="",M92="",H92=""),"",ROUND((M92-L92)/(L92-H92),2))</f>
        <v/>
      </c>
    </row>
    <row r="93">
      <c r="K93" s="13" t="n"/>
      <c r="L93" s="13" t="n"/>
      <c r="M93" s="13" t="n"/>
      <c r="N93">
        <f>IF(OR(L93="",M93="",H93=""),"",ROUND((M93-L93)/(L93-H93),2))</f>
        <v/>
      </c>
    </row>
    <row r="94">
      <c r="K94" s="13" t="n"/>
      <c r="L94" s="13" t="n"/>
      <c r="M94" s="13" t="n"/>
      <c r="N94">
        <f>IF(OR(L94="",M94="",H94=""),"",ROUND((M94-L94)/(L94-H94),2))</f>
        <v/>
      </c>
    </row>
    <row r="95">
      <c r="K95" s="13" t="n"/>
      <c r="L95" s="13" t="n"/>
      <c r="M95" s="13" t="n"/>
      <c r="N95">
        <f>IF(OR(L95="",M95="",H95=""),"",ROUND((M95-L95)/(L95-H95),2))</f>
        <v/>
      </c>
    </row>
    <row r="96">
      <c r="K96" s="13" t="n"/>
      <c r="L96" s="13" t="n"/>
      <c r="M96" s="13" t="n"/>
      <c r="N96">
        <f>IF(OR(L96="",M96="",H96=""),"",ROUND((M96-L96)/(L96-H96),2))</f>
        <v/>
      </c>
    </row>
    <row r="97">
      <c r="K97" s="13" t="n"/>
      <c r="L97" s="13" t="n"/>
      <c r="M97" s="13" t="n"/>
      <c r="N97">
        <f>IF(OR(L97="",M97="",H97=""),"",ROUND((M97-L97)/(L97-H97),2))</f>
        <v/>
      </c>
    </row>
    <row r="98">
      <c r="K98" s="13" t="n"/>
      <c r="L98" s="13" t="n"/>
      <c r="M98" s="13" t="n"/>
      <c r="N98">
        <f>IF(OR(L98="",M98="",H98=""),"",ROUND((M98-L98)/(L98-H98),2))</f>
        <v/>
      </c>
    </row>
    <row r="99">
      <c r="K99" s="13" t="n"/>
      <c r="L99" s="13" t="n"/>
      <c r="M99" s="13" t="n"/>
      <c r="N99">
        <f>IF(OR(L99="",M99="",H99=""),"",ROUND((M99-L99)/(L99-H99),2))</f>
        <v/>
      </c>
    </row>
    <row r="100">
      <c r="K100" s="13" t="n"/>
      <c r="L100" s="13" t="n"/>
      <c r="M100" s="13" t="n"/>
      <c r="N100">
        <f>IF(OR(L100="",M100="",H100=""),"",ROUND((M100-L100)/(L100-H100),2))</f>
        <v/>
      </c>
    </row>
    <row r="101">
      <c r="K101" s="13" t="n"/>
      <c r="L101" s="13" t="n"/>
      <c r="M101" s="13" t="n"/>
      <c r="N101">
        <f>IF(OR(L101="",M101="",H101=""),"",ROUND((M101-L101)/(L101-H101),2))</f>
        <v/>
      </c>
    </row>
    <row r="102">
      <c r="K102" s="13" t="n"/>
      <c r="L102" s="13" t="n"/>
      <c r="M102" s="13" t="n"/>
      <c r="N102">
        <f>IF(OR(L102="",M102="",H102=""),"",ROUND((M102-L102)/(L102-H102),2))</f>
        <v/>
      </c>
    </row>
    <row r="103">
      <c r="K103" s="13" t="n"/>
      <c r="L103" s="13" t="n"/>
      <c r="M103" s="13" t="n"/>
      <c r="N103">
        <f>IF(OR(L103="",M103="",H103=""),"",ROUND((M103-L103)/(L103-H103),2))</f>
        <v/>
      </c>
    </row>
    <row r="104">
      <c r="K104" s="13" t="n"/>
      <c r="L104" s="13" t="n"/>
      <c r="M104" s="13" t="n"/>
      <c r="N104">
        <f>IF(OR(L104="",M104="",H104=""),"",ROUND((M104-L104)/(L104-H104),2))</f>
        <v/>
      </c>
    </row>
    <row r="105">
      <c r="K105" s="13" t="n"/>
      <c r="L105" s="13" t="n"/>
      <c r="M105" s="13" t="n"/>
      <c r="N105">
        <f>IF(OR(L105="",M105="",H105=""),"",ROUND((M105-L105)/(L105-H105),2))</f>
        <v/>
      </c>
    </row>
    <row r="106">
      <c r="K106" s="13" t="n"/>
      <c r="L106" s="13" t="n"/>
      <c r="M106" s="13" t="n"/>
      <c r="N106">
        <f>IF(OR(L106="",M106="",H106=""),"",ROUND((M106-L106)/(L106-H106),2))</f>
        <v/>
      </c>
    </row>
    <row r="107">
      <c r="K107" s="13" t="n"/>
      <c r="L107" s="13" t="n"/>
      <c r="M107" s="13" t="n"/>
      <c r="N107">
        <f>IF(OR(L107="",M107="",H107=""),"",ROUND((M107-L107)/(L107-H107),2))</f>
        <v/>
      </c>
    </row>
    <row r="108">
      <c r="K108" s="13" t="n"/>
      <c r="L108" s="13" t="n"/>
      <c r="M108" s="13" t="n"/>
      <c r="N108">
        <f>IF(OR(L108="",M108="",H108=""),"",ROUND((M108-L108)/(L108-H108),2))</f>
        <v/>
      </c>
    </row>
    <row r="109">
      <c r="K109" s="13" t="n"/>
      <c r="L109" s="13" t="n"/>
      <c r="M109" s="13" t="n"/>
      <c r="N109">
        <f>IF(OR(L109="",M109="",H109=""),"",ROUND((M109-L109)/(L109-H109),2))</f>
        <v/>
      </c>
    </row>
    <row r="110">
      <c r="K110" s="13" t="n"/>
      <c r="L110" s="13" t="n"/>
      <c r="M110" s="13" t="n"/>
      <c r="N110">
        <f>IF(OR(L110="",M110="",H110=""),"",ROUND((M110-L110)/(L110-H110),2))</f>
        <v/>
      </c>
    </row>
    <row r="111">
      <c r="K111" s="13" t="n"/>
      <c r="L111" s="13" t="n"/>
      <c r="M111" s="13" t="n"/>
      <c r="N111">
        <f>IF(OR(L111="",M111="",H111=""),"",ROUND((M111-L111)/(L111-H111),2))</f>
        <v/>
      </c>
    </row>
    <row r="112">
      <c r="K112" s="13" t="n"/>
      <c r="L112" s="13" t="n"/>
      <c r="M112" s="13" t="n"/>
      <c r="N112">
        <f>IF(OR(L112="",M112="",H112=""),"",ROUND((M112-L112)/(L112-H112),2))</f>
        <v/>
      </c>
    </row>
    <row r="113">
      <c r="K113" s="13" t="n"/>
      <c r="L113" s="13" t="n"/>
      <c r="M113" s="13" t="n"/>
      <c r="N113">
        <f>IF(OR(L113="",M113="",H113=""),"",ROUND((M113-L113)/(L113-H113),2))</f>
        <v/>
      </c>
    </row>
    <row r="114">
      <c r="K114" s="13" t="n"/>
      <c r="L114" s="13" t="n"/>
      <c r="M114" s="13" t="n"/>
      <c r="N114">
        <f>IF(OR(L114="",M114="",H114=""),"",ROUND((M114-L114)/(L114-H114),2))</f>
        <v/>
      </c>
    </row>
    <row r="115">
      <c r="K115" s="13" t="n"/>
      <c r="L115" s="13" t="n"/>
      <c r="M115" s="13" t="n"/>
      <c r="N115">
        <f>IF(OR(L115="",M115="",H115=""),"",ROUND((M115-L115)/(L115-H115),2))</f>
        <v/>
      </c>
    </row>
    <row r="116">
      <c r="K116" s="13" t="n"/>
      <c r="L116" s="13" t="n"/>
      <c r="M116" s="13" t="n"/>
      <c r="N116">
        <f>IF(OR(L116="",M116="",H116=""),"",ROUND((M116-L116)/(L116-H116),2))</f>
        <v/>
      </c>
    </row>
    <row r="117">
      <c r="K117" s="13" t="n"/>
      <c r="L117" s="13" t="n"/>
      <c r="M117" s="13" t="n"/>
      <c r="N117">
        <f>IF(OR(L117="",M117="",H117=""),"",ROUND((M117-L117)/(L117-H117),2))</f>
        <v/>
      </c>
    </row>
    <row r="118">
      <c r="K118" s="13" t="n"/>
      <c r="L118" s="13" t="n"/>
      <c r="M118" s="13" t="n"/>
      <c r="N118">
        <f>IF(OR(L118="",M118="",H118=""),"",ROUND((M118-L118)/(L118-H118),2))</f>
        <v/>
      </c>
    </row>
    <row r="119">
      <c r="K119" s="13" t="n"/>
      <c r="L119" s="13" t="n"/>
      <c r="M119" s="13" t="n"/>
      <c r="N119">
        <f>IF(OR(L119="",M119="",H119=""),"",ROUND((M119-L119)/(L119-H119),2))</f>
        <v/>
      </c>
    </row>
    <row r="120">
      <c r="K120" s="13" t="n"/>
      <c r="L120" s="13" t="n"/>
      <c r="M120" s="13" t="n"/>
      <c r="N120">
        <f>IF(OR(L120="",M120="",H120=""),"",ROUND((M120-L120)/(L120-H120),2))</f>
        <v/>
      </c>
    </row>
    <row r="121">
      <c r="K121" s="13" t="n"/>
      <c r="L121" s="13" t="n"/>
      <c r="M121" s="13" t="n"/>
      <c r="N121">
        <f>IF(OR(L121="",M121="",H121=""),"",ROUND((M121-L121)/(L121-H121),2))</f>
        <v/>
      </c>
    </row>
    <row r="122">
      <c r="K122" s="13" t="n"/>
      <c r="L122" s="13" t="n"/>
      <c r="M122" s="13" t="n"/>
      <c r="N122">
        <f>IF(OR(L122="",M122="",H122=""),"",ROUND((M122-L122)/(L122-H122),2))</f>
        <v/>
      </c>
    </row>
    <row r="123">
      <c r="K123" s="13" t="n"/>
      <c r="L123" s="13" t="n"/>
      <c r="M123" s="13" t="n"/>
      <c r="N123">
        <f>IF(OR(L123="",M123="",H123=""),"",ROUND((M123-L123)/(L123-H123),2))</f>
        <v/>
      </c>
    </row>
    <row r="124">
      <c r="K124" s="13" t="n"/>
      <c r="L124" s="13" t="n"/>
      <c r="M124" s="13" t="n"/>
      <c r="N124">
        <f>IF(OR(L124="",M124="",H124=""),"",ROUND((M124-L124)/(L124-H124),2))</f>
        <v/>
      </c>
    </row>
    <row r="125">
      <c r="K125" s="13" t="n"/>
      <c r="L125" s="13" t="n"/>
      <c r="M125" s="13" t="n"/>
      <c r="N125">
        <f>IF(OR(L125="",M125="",H125=""),"",ROUND((M125-L125)/(L125-H125),2))</f>
        <v/>
      </c>
    </row>
    <row r="126">
      <c r="K126" s="13" t="n"/>
      <c r="L126" s="13" t="n"/>
      <c r="M126" s="13" t="n"/>
      <c r="N126">
        <f>IF(OR(L126="",M126="",H126=""),"",ROUND((M126-L126)/(L126-H126),2))</f>
        <v/>
      </c>
    </row>
    <row r="127">
      <c r="K127" s="13" t="n"/>
      <c r="L127" s="13" t="n"/>
      <c r="M127" s="13" t="n"/>
      <c r="N127">
        <f>IF(OR(L127="",M127="",H127=""),"",ROUND((M127-L127)/(L127-H127),2))</f>
        <v/>
      </c>
    </row>
    <row r="128">
      <c r="K128" s="13" t="n"/>
      <c r="L128" s="13" t="n"/>
      <c r="M128" s="13" t="n"/>
      <c r="N128">
        <f>IF(OR(L128="",M128="",H128=""),"",ROUND((M128-L128)/(L128-H128),2))</f>
        <v/>
      </c>
    </row>
    <row r="129">
      <c r="K129" s="13" t="n"/>
      <c r="L129" s="13" t="n"/>
      <c r="M129" s="13" t="n"/>
      <c r="N129">
        <f>IF(OR(L129="",M129="",H129=""),"",ROUND((M129-L129)/(L129-H129),2))</f>
        <v/>
      </c>
    </row>
    <row r="130">
      <c r="K130" s="13" t="n"/>
      <c r="L130" s="13" t="n"/>
      <c r="M130" s="13" t="n"/>
      <c r="N130">
        <f>IF(OR(L130="",M130="",H130=""),"",ROUND((M130-L130)/(L130-H130),2))</f>
        <v/>
      </c>
    </row>
    <row r="131">
      <c r="K131" s="13" t="n"/>
      <c r="L131" s="13" t="n"/>
      <c r="M131" s="13" t="n"/>
      <c r="N131">
        <f>IF(OR(L131="",M131="",H131=""),"",ROUND((M131-L131)/(L131-H131),2))</f>
        <v/>
      </c>
    </row>
    <row r="132">
      <c r="K132" s="13" t="n"/>
      <c r="L132" s="13" t="n"/>
      <c r="M132" s="13" t="n"/>
      <c r="N132">
        <f>IF(OR(L132="",M132="",H132=""),"",ROUND((M132-L132)/(L132-H132),2))</f>
        <v/>
      </c>
    </row>
    <row r="133">
      <c r="K133" s="13" t="n"/>
      <c r="L133" s="13" t="n"/>
      <c r="M133" s="13" t="n"/>
      <c r="N133">
        <f>IF(OR(L133="",M133="",H133=""),"",ROUND((M133-L133)/(L133-H133),2))</f>
        <v/>
      </c>
    </row>
    <row r="134">
      <c r="K134" s="13" t="n"/>
      <c r="L134" s="13" t="n"/>
      <c r="M134" s="13" t="n"/>
      <c r="N134">
        <f>IF(OR(L134="",M134="",H134=""),"",ROUND((M134-L134)/(L134-H134),2))</f>
        <v/>
      </c>
    </row>
    <row r="135">
      <c r="K135" s="13" t="n"/>
      <c r="L135" s="13" t="n"/>
      <c r="M135" s="13" t="n"/>
      <c r="N135">
        <f>IF(OR(L135="",M135="",H135=""),"",ROUND((M135-L135)/(L135-H135),2))</f>
        <v/>
      </c>
    </row>
    <row r="136">
      <c r="K136" s="13" t="n"/>
      <c r="L136" s="13" t="n"/>
      <c r="M136" s="13" t="n"/>
      <c r="N136">
        <f>IF(OR(L136="",M136="",H136=""),"",ROUND((M136-L136)/(L136-H136),2))</f>
        <v/>
      </c>
    </row>
    <row r="137">
      <c r="K137" s="13" t="n"/>
      <c r="L137" s="13" t="n"/>
      <c r="M137" s="13" t="n"/>
      <c r="N137">
        <f>IF(OR(L137="",M137="",H137=""),"",ROUND((M137-L137)/(L137-H137),2))</f>
        <v/>
      </c>
    </row>
    <row r="138">
      <c r="K138" s="13" t="n"/>
      <c r="L138" s="13" t="n"/>
      <c r="M138" s="13" t="n"/>
      <c r="N138">
        <f>IF(OR(L138="",M138="",H138=""),"",ROUND((M138-L138)/(L138-H138),2))</f>
        <v/>
      </c>
    </row>
    <row r="139">
      <c r="K139" s="13" t="n"/>
      <c r="L139" s="13" t="n"/>
      <c r="M139" s="13" t="n"/>
      <c r="N139">
        <f>IF(OR(L139="",M139="",H139=""),"",ROUND((M139-L139)/(L139-H139),2))</f>
        <v/>
      </c>
    </row>
    <row r="140">
      <c r="K140" s="13" t="n"/>
      <c r="L140" s="13" t="n"/>
      <c r="M140" s="13" t="n"/>
      <c r="N140">
        <f>IF(OR(L140="",M140="",H140=""),"",ROUND((M140-L140)/(L140-H140),2))</f>
        <v/>
      </c>
    </row>
    <row r="141">
      <c r="K141" s="13" t="n"/>
      <c r="L141" s="13" t="n"/>
      <c r="M141" s="13" t="n"/>
      <c r="N141">
        <f>IF(OR(L141="",M141="",H141=""),"",ROUND((M141-L141)/(L141-H141),2))</f>
        <v/>
      </c>
    </row>
    <row r="142">
      <c r="K142" s="13" t="n"/>
      <c r="L142" s="13" t="n"/>
      <c r="M142" s="13" t="n"/>
      <c r="N142">
        <f>IF(OR(L142="",M142="",H142=""),"",ROUND((M142-L142)/(L142-H142),2))</f>
        <v/>
      </c>
    </row>
    <row r="143">
      <c r="K143" s="13" t="n"/>
      <c r="L143" s="13" t="n"/>
      <c r="M143" s="13" t="n"/>
      <c r="N143">
        <f>IF(OR(L143="",M143="",H143=""),"",ROUND((M143-L143)/(L143-H143),2))</f>
        <v/>
      </c>
    </row>
    <row r="144">
      <c r="K144" s="13" t="n"/>
      <c r="L144" s="13" t="n"/>
      <c r="M144" s="13" t="n"/>
      <c r="N144">
        <f>IF(OR(L144="",M144="",H144=""),"",ROUND((M144-L144)/(L144-H144),2))</f>
        <v/>
      </c>
    </row>
    <row r="145">
      <c r="K145" s="13" t="n"/>
      <c r="L145" s="13" t="n"/>
      <c r="M145" s="13" t="n"/>
      <c r="N145">
        <f>IF(OR(L145="",M145="",H145=""),"",ROUND((M145-L145)/(L145-H145),2))</f>
        <v/>
      </c>
    </row>
    <row r="146">
      <c r="K146" s="13" t="n"/>
      <c r="L146" s="13" t="n"/>
      <c r="M146" s="13" t="n"/>
      <c r="N146">
        <f>IF(OR(L146="",M146="",H146=""),"",ROUND((M146-L146)/(L146-H146),2))</f>
        <v/>
      </c>
    </row>
    <row r="147">
      <c r="K147" s="13" t="n"/>
      <c r="L147" s="13" t="n"/>
      <c r="M147" s="13" t="n"/>
      <c r="N147">
        <f>IF(OR(L147="",M147="",H147=""),"",ROUND((M147-L147)/(L147-H147),2))</f>
        <v/>
      </c>
    </row>
    <row r="148">
      <c r="K148" s="13" t="n"/>
      <c r="L148" s="13" t="n"/>
      <c r="M148" s="13" t="n"/>
      <c r="N148">
        <f>IF(OR(L148="",M148="",H148=""),"",ROUND((M148-L148)/(L148-H148),2))</f>
        <v/>
      </c>
    </row>
    <row r="149">
      <c r="K149" s="13" t="n"/>
      <c r="L149" s="13" t="n"/>
      <c r="M149" s="13" t="n"/>
      <c r="N149">
        <f>IF(OR(L149="",M149="",H149=""),"",ROUND((M149-L149)/(L149-H149),2))</f>
        <v/>
      </c>
    </row>
    <row r="150">
      <c r="K150" s="13" t="n"/>
      <c r="L150" s="13" t="n"/>
      <c r="M150" s="13" t="n"/>
      <c r="N150">
        <f>IF(OR(L150="",M150="",H150=""),"",ROUND((M150-L150)/(L150-H150),2))</f>
        <v/>
      </c>
    </row>
    <row r="151">
      <c r="K151" s="13" t="n"/>
      <c r="L151" s="13" t="n"/>
      <c r="M151" s="13" t="n"/>
      <c r="N151">
        <f>IF(OR(L151="",M151="",H151=""),"",ROUND((M151-L151)/(L151-H151),2))</f>
        <v/>
      </c>
    </row>
    <row r="152">
      <c r="K152" s="13" t="n"/>
      <c r="L152" s="13" t="n"/>
      <c r="M152" s="13" t="n"/>
      <c r="N152">
        <f>IF(OR(L152="",M152="",H152=""),"",ROUND((M152-L152)/(L152-H152),2))</f>
        <v/>
      </c>
    </row>
    <row r="153">
      <c r="K153" s="13" t="n"/>
      <c r="L153" s="13" t="n"/>
      <c r="M153" s="13" t="n"/>
      <c r="N153">
        <f>IF(OR(L153="",M153="",H153=""),"",ROUND((M153-L153)/(L153-H153),2))</f>
        <v/>
      </c>
    </row>
    <row r="154">
      <c r="K154" s="13" t="n"/>
      <c r="L154" s="13" t="n"/>
      <c r="M154" s="13" t="n"/>
      <c r="N154">
        <f>IF(OR(L154="",M154="",H154=""),"",ROUND((M154-L154)/(L154-H154),2))</f>
        <v/>
      </c>
    </row>
    <row r="155">
      <c r="K155" s="13" t="n"/>
      <c r="L155" s="13" t="n"/>
      <c r="M155" s="13" t="n"/>
      <c r="N155">
        <f>IF(OR(L155="",M155="",H155=""),"",ROUND((M155-L155)/(L155-H155),2))</f>
        <v/>
      </c>
    </row>
    <row r="156">
      <c r="K156" s="13" t="n"/>
      <c r="L156" s="13" t="n"/>
      <c r="M156" s="13" t="n"/>
      <c r="N156">
        <f>IF(OR(L156="",M156="",H156=""),"",ROUND((M156-L156)/(L156-H156),2))</f>
        <v/>
      </c>
    </row>
    <row r="157">
      <c r="K157" s="13" t="n"/>
      <c r="L157" s="13" t="n"/>
      <c r="M157" s="13" t="n"/>
      <c r="N157">
        <f>IF(OR(L157="",M157="",H157=""),"",ROUND((M157-L157)/(L157-H157),2))</f>
        <v/>
      </c>
    </row>
    <row r="158">
      <c r="K158" s="13" t="n"/>
      <c r="L158" s="13" t="n"/>
      <c r="M158" s="13" t="n"/>
      <c r="N158">
        <f>IF(OR(L158="",M158="",H158=""),"",ROUND((M158-L158)/(L158-H158),2))</f>
        <v/>
      </c>
    </row>
    <row r="159">
      <c r="K159" s="13" t="n"/>
      <c r="L159" s="13" t="n"/>
      <c r="M159" s="13" t="n"/>
      <c r="N159">
        <f>IF(OR(L159="",M159="",H159=""),"",ROUND((M159-L159)/(L159-H159),2))</f>
        <v/>
      </c>
    </row>
    <row r="160">
      <c r="K160" s="13" t="n"/>
      <c r="L160" s="13" t="n"/>
      <c r="M160" s="13" t="n"/>
      <c r="N160">
        <f>IF(OR(L160="",M160="",H160=""),"",ROUND((M160-L160)/(L160-H160),2))</f>
        <v/>
      </c>
    </row>
    <row r="161">
      <c r="K161" s="13" t="n"/>
      <c r="L161" s="13" t="n"/>
      <c r="M161" s="13" t="n"/>
      <c r="N161">
        <f>IF(OR(L161="",M161="",H161=""),"",ROUND((M161-L161)/(L161-H161),2))</f>
        <v/>
      </c>
    </row>
    <row r="162">
      <c r="K162" s="13" t="n"/>
      <c r="L162" s="13" t="n"/>
      <c r="M162" s="13" t="n"/>
      <c r="N162">
        <f>IF(OR(L162="",M162="",H162=""),"",ROUND((M162-L162)/(L162-H162),2))</f>
        <v/>
      </c>
    </row>
    <row r="163">
      <c r="K163" s="13" t="n"/>
      <c r="L163" s="13" t="n"/>
      <c r="M163" s="13" t="n"/>
      <c r="N163">
        <f>IF(OR(L163="",M163="",H163=""),"",ROUND((M163-L163)/(L163-H163),2))</f>
        <v/>
      </c>
    </row>
    <row r="164">
      <c r="K164" s="13" t="n"/>
      <c r="L164" s="13" t="n"/>
      <c r="M164" s="13" t="n"/>
      <c r="N164">
        <f>IF(OR(L164="",M164="",H164=""),"",ROUND((M164-L164)/(L164-H164),2))</f>
        <v/>
      </c>
    </row>
    <row r="165">
      <c r="K165" s="13" t="n"/>
      <c r="L165" s="13" t="n"/>
      <c r="M165" s="13" t="n"/>
      <c r="N165">
        <f>IF(OR(L165="",M165="",H165=""),"",ROUND((M165-L165)/(L165-H165),2))</f>
        <v/>
      </c>
    </row>
    <row r="166">
      <c r="K166" s="13" t="n"/>
      <c r="L166" s="13" t="n"/>
      <c r="M166" s="13" t="n"/>
      <c r="N166">
        <f>IF(OR(L166="",M166="",H166=""),"",ROUND((M166-L166)/(L166-H166),2))</f>
        <v/>
      </c>
    </row>
    <row r="167">
      <c r="K167" s="13" t="n"/>
      <c r="L167" s="13" t="n"/>
      <c r="M167" s="13" t="n"/>
      <c r="N167">
        <f>IF(OR(L167="",M167="",H167=""),"",ROUND((M167-L167)/(L167-H167),2))</f>
        <v/>
      </c>
    </row>
    <row r="168">
      <c r="K168" s="13" t="n"/>
      <c r="L168" s="13" t="n"/>
      <c r="M168" s="13" t="n"/>
      <c r="N168">
        <f>IF(OR(L168="",M168="",H168=""),"",ROUND((M168-L168)/(L168-H168),2))</f>
        <v/>
      </c>
    </row>
    <row r="169">
      <c r="K169" s="13" t="n"/>
      <c r="L169" s="13" t="n"/>
      <c r="M169" s="13" t="n"/>
      <c r="N169">
        <f>IF(OR(L169="",M169="",H169=""),"",ROUND((M169-L169)/(L169-H169),2))</f>
        <v/>
      </c>
    </row>
    <row r="170">
      <c r="K170" s="13" t="n"/>
      <c r="L170" s="13" t="n"/>
      <c r="M170" s="13" t="n"/>
      <c r="N170">
        <f>IF(OR(L170="",M170="",H170=""),"",ROUND((M170-L170)/(L170-H170),2))</f>
        <v/>
      </c>
    </row>
    <row r="171">
      <c r="K171" s="13" t="n"/>
      <c r="L171" s="13" t="n"/>
      <c r="M171" s="13" t="n"/>
      <c r="N171">
        <f>IF(OR(L171="",M171="",H171=""),"",ROUND((M171-L171)/(L171-H171),2))</f>
        <v/>
      </c>
    </row>
    <row r="172">
      <c r="K172" s="13" t="n"/>
      <c r="L172" s="13" t="n"/>
      <c r="M172" s="13" t="n"/>
      <c r="N172">
        <f>IF(OR(L172="",M172="",H172=""),"",ROUND((M172-L172)/(L172-H172),2))</f>
        <v/>
      </c>
    </row>
    <row r="173">
      <c r="K173" s="13" t="n"/>
      <c r="L173" s="13" t="n"/>
      <c r="M173" s="13" t="n"/>
      <c r="N173">
        <f>IF(OR(L173="",M173="",H173=""),"",ROUND((M173-L173)/(L173-H173),2))</f>
        <v/>
      </c>
    </row>
    <row r="174">
      <c r="K174" s="13" t="n"/>
      <c r="L174" s="13" t="n"/>
      <c r="M174" s="13" t="n"/>
      <c r="N174">
        <f>IF(OR(L174="",M174="",H174=""),"",ROUND((M174-L174)/(L174-H174),2))</f>
        <v/>
      </c>
    </row>
    <row r="175">
      <c r="K175" s="13" t="n"/>
      <c r="L175" s="13" t="n"/>
      <c r="M175" s="13" t="n"/>
      <c r="N175">
        <f>IF(OR(L175="",M175="",H175=""),"",ROUND((M175-L175)/(L175-H175),2))</f>
        <v/>
      </c>
    </row>
    <row r="176">
      <c r="K176" s="13" t="n"/>
      <c r="L176" s="13" t="n"/>
      <c r="M176" s="13" t="n"/>
      <c r="N176">
        <f>IF(OR(L176="",M176="",H176=""),"",ROUND((M176-L176)/(L176-H176),2))</f>
        <v/>
      </c>
    </row>
    <row r="177">
      <c r="K177" s="13" t="n"/>
      <c r="L177" s="13" t="n"/>
      <c r="M177" s="13" t="n"/>
      <c r="N177">
        <f>IF(OR(L177="",M177="",H177=""),"",ROUND((M177-L177)/(L177-H177),2))</f>
        <v/>
      </c>
    </row>
    <row r="178">
      <c r="K178" s="13" t="n"/>
      <c r="L178" s="13" t="n"/>
      <c r="M178" s="13" t="n"/>
      <c r="N178">
        <f>IF(OR(L178="",M178="",H178=""),"",ROUND((M178-L178)/(L178-H178),2))</f>
        <v/>
      </c>
    </row>
    <row r="179">
      <c r="K179" s="13" t="n"/>
      <c r="L179" s="13" t="n"/>
      <c r="M179" s="13" t="n"/>
      <c r="N179">
        <f>IF(OR(L179="",M179="",H179=""),"",ROUND((M179-L179)/(L179-H179),2))</f>
        <v/>
      </c>
    </row>
    <row r="180">
      <c r="K180" s="13" t="n"/>
      <c r="L180" s="13" t="n"/>
      <c r="M180" s="13" t="n"/>
      <c r="N180">
        <f>IF(OR(L180="",M180="",H180=""),"",ROUND((M180-L180)/(L180-H180),2))</f>
        <v/>
      </c>
    </row>
    <row r="181">
      <c r="K181" s="13" t="n"/>
      <c r="L181" s="13" t="n"/>
      <c r="M181" s="13" t="n"/>
      <c r="N181">
        <f>IF(OR(L181="",M181="",H181=""),"",ROUND((M181-L181)/(L181-H181),2))</f>
        <v/>
      </c>
    </row>
    <row r="182">
      <c r="K182" s="13" t="n"/>
      <c r="L182" s="13" t="n"/>
      <c r="M182" s="13" t="n"/>
      <c r="N182">
        <f>IF(OR(L182="",M182="",H182=""),"",ROUND((M182-L182)/(L182-H182),2))</f>
        <v/>
      </c>
    </row>
    <row r="183">
      <c r="K183" s="13" t="n"/>
      <c r="L183" s="13" t="n"/>
      <c r="M183" s="13" t="n"/>
      <c r="N183">
        <f>IF(OR(L183="",M183="",H183=""),"",ROUND((M183-L183)/(L183-H183),2))</f>
        <v/>
      </c>
    </row>
    <row r="184">
      <c r="K184" s="13" t="n"/>
      <c r="L184" s="13" t="n"/>
      <c r="M184" s="13" t="n"/>
      <c r="N184">
        <f>IF(OR(L184="",M184="",H184=""),"",ROUND((M184-L184)/(L184-H184),2))</f>
        <v/>
      </c>
    </row>
    <row r="185">
      <c r="K185" s="13" t="n"/>
      <c r="L185" s="13" t="n"/>
      <c r="M185" s="13" t="n"/>
      <c r="N185">
        <f>IF(OR(L185="",M185="",H185=""),"",ROUND((M185-L185)/(L185-H185),2))</f>
        <v/>
      </c>
    </row>
    <row r="186">
      <c r="K186" s="13" t="n"/>
      <c r="L186" s="13" t="n"/>
      <c r="M186" s="13" t="n"/>
      <c r="N186">
        <f>IF(OR(L186="",M186="",H186=""),"",ROUND((M186-L186)/(L186-H186),2))</f>
        <v/>
      </c>
    </row>
    <row r="187">
      <c r="K187" s="13" t="n"/>
      <c r="L187" s="13" t="n"/>
      <c r="M187" s="13" t="n"/>
      <c r="N187">
        <f>IF(OR(L187="",M187="",H187=""),"",ROUND((M187-L187)/(L187-H187),2))</f>
        <v/>
      </c>
    </row>
    <row r="188">
      <c r="K188" s="13" t="n"/>
      <c r="L188" s="13" t="n"/>
      <c r="M188" s="13" t="n"/>
      <c r="N188">
        <f>IF(OR(L188="",M188="",H188=""),"",ROUND((M188-L188)/(L188-H188),2))</f>
        <v/>
      </c>
    </row>
    <row r="189">
      <c r="K189" s="13" t="n"/>
      <c r="L189" s="13" t="n"/>
      <c r="M189" s="13" t="n"/>
      <c r="N189">
        <f>IF(OR(L189="",M189="",H189=""),"",ROUND((M189-L189)/(L189-H189),2))</f>
        <v/>
      </c>
    </row>
    <row r="190">
      <c r="K190" s="13" t="n"/>
      <c r="L190" s="13" t="n"/>
      <c r="M190" s="13" t="n"/>
      <c r="N190">
        <f>IF(OR(L190="",M190="",H190=""),"",ROUND((M190-L190)/(L190-H190),2))</f>
        <v/>
      </c>
    </row>
    <row r="191">
      <c r="K191" s="13" t="n"/>
      <c r="L191" s="13" t="n"/>
      <c r="M191" s="13" t="n"/>
      <c r="N191">
        <f>IF(OR(L191="",M191="",H191=""),"",ROUND((M191-L191)/(L191-H191),2))</f>
        <v/>
      </c>
    </row>
    <row r="192">
      <c r="K192" s="13" t="n"/>
      <c r="L192" s="13" t="n"/>
      <c r="M192" s="13" t="n"/>
      <c r="N192">
        <f>IF(OR(L192="",M192="",H192=""),"",ROUND((M192-L192)/(L192-H192),2))</f>
        <v/>
      </c>
    </row>
    <row r="193">
      <c r="K193" s="13" t="n"/>
      <c r="L193" s="13" t="n"/>
      <c r="M193" s="13" t="n"/>
      <c r="N193">
        <f>IF(OR(L193="",M193="",H193=""),"",ROUND((M193-L193)/(L193-H193),2))</f>
        <v/>
      </c>
    </row>
    <row r="194">
      <c r="K194" s="13" t="n"/>
      <c r="L194" s="13" t="n"/>
      <c r="M194" s="13" t="n"/>
      <c r="N194">
        <f>IF(OR(L194="",M194="",H194=""),"",ROUND((M194-L194)/(L194-H194),2))</f>
        <v/>
      </c>
    </row>
    <row r="195">
      <c r="K195" s="13" t="n"/>
      <c r="L195" s="13" t="n"/>
      <c r="M195" s="13" t="n"/>
      <c r="N195">
        <f>IF(OR(L195="",M195="",H195=""),"",ROUND((M195-L195)/(L195-H195),2))</f>
        <v/>
      </c>
    </row>
    <row r="196">
      <c r="K196" s="13" t="n"/>
      <c r="L196" s="13" t="n"/>
      <c r="M196" s="13" t="n"/>
      <c r="N196">
        <f>IF(OR(L196="",M196="",H196=""),"",ROUND((M196-L196)/(L196-H196),2))</f>
        <v/>
      </c>
    </row>
    <row r="197">
      <c r="K197" s="13" t="n"/>
      <c r="L197" s="13" t="n"/>
      <c r="M197" s="13" t="n"/>
      <c r="N197">
        <f>IF(OR(L197="",M197="",H197=""),"",ROUND((M197-L197)/(L197-H197),2))</f>
        <v/>
      </c>
    </row>
    <row r="198">
      <c r="K198" s="13" t="n"/>
      <c r="L198" s="13" t="n"/>
      <c r="M198" s="13" t="n"/>
      <c r="N198">
        <f>IF(OR(L198="",M198="",H198=""),"",ROUND((M198-L198)/(L198-H198),2))</f>
        <v/>
      </c>
    </row>
    <row r="199">
      <c r="K199" s="13" t="n"/>
      <c r="L199" s="13" t="n"/>
      <c r="M199" s="13" t="n"/>
      <c r="N199">
        <f>IF(OR(L199="",M199="",H199=""),"",ROUND((M199-L199)/(L199-H199),2))</f>
        <v/>
      </c>
    </row>
    <row r="200">
      <c r="K200" s="13" t="n"/>
      <c r="L200" s="13" t="n"/>
      <c r="M200" s="13" t="n"/>
      <c r="N200">
        <f>IF(OR(L200="",M200="",H200=""),"",ROUND((M200-L200)/(L200-H200),2))</f>
        <v/>
      </c>
    </row>
    <row r="201">
      <c r="K201" s="13" t="n"/>
      <c r="L201" s="13" t="n"/>
      <c r="M201" s="13" t="n"/>
      <c r="N201">
        <f>IF(OR(L200="",M200="",H200=""),"",ROUND((M200-L200)/(L200-H200),2))</f>
        <v/>
      </c>
    </row>
  </sheetData>
  <dataValidations count="2">
    <dataValidation sqref="K2:K200" showDropDown="0" showInputMessage="0" showErrorMessage="0" allowBlank="1" type="list">
      <formula1>"Yes,No,Unverified"</formula1>
    </dataValidation>
    <dataValidation sqref="B2:B200" showDropDown="0" showInputMessage="0" showErrorMessage="0" allowBlank="1" type="list">
      <formula1>"Live,Replay"</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1"/>
  <sheetViews>
    <sheetView tabSelected="0" workbookViewId="0">
      <selection activeCell="A1" sqref="A1"/>
    </sheetView>
  </sheetViews>
  <sheetFormatPr baseColWidth="8" defaultRowHeight="15"/>
  <cols>
    <col width="120" customWidth="1" min="1" max="1"/>
  </cols>
  <sheetData>
    <row r="1">
      <c r="A1" s="10" t="inlineStr">
        <is>
          <t>Forward-test rules</t>
        </is>
      </c>
    </row>
    <row r="2">
      <c r="A2" t="inlineStr">
        <is>
          <t>1. Write each row (setup, trigger, entry, stop, T1, T2) before 9:15 IST. Never edit those cells after the open.</t>
        </is>
      </c>
    </row>
    <row r="3">
      <c r="A3" t="inlineStr">
        <is>
          <t>2. Fill only the yellow cells after the session: Triggered?, Actual entry, Exit.</t>
        </is>
      </c>
    </row>
    <row r="4">
      <c r="A4" t="inlineStr">
        <is>
          <t>3. Log every trigger, including ones you skipped. Skipped triggers still count, or the stats are biased.</t>
        </is>
      </c>
    </row>
    <row r="5">
      <c r="A5" t="inlineStr">
        <is>
          <t>4. Default exit = full position at T1, or the stop. Note T2 hits in Notes, but keep the exit rule fixed so R is comparable.</t>
        </is>
      </c>
    </row>
    <row r="6">
      <c r="A6" t="inlineStr">
        <is>
          <t>5. Result (R) = (Exit - Actual entry) / (Actual entry - Stop). Works for longs and shorts.</t>
        </is>
      </c>
    </row>
    <row r="7">
      <c r="A7" t="inlineStr">
        <is>
          <t>6. Replay rows (grey) were written after the outcome was known. They are excluded from the summary.</t>
        </is>
      </c>
    </row>
    <row r="8">
      <c r="A8" t="inlineStr">
        <is>
          <t>7. No conclusions before 30 live trades. Until then, trade 1 lot or paper only.</t>
        </is>
      </c>
    </row>
    <row r="9">
      <c r="A9" t="inlineStr">
        <is>
          <t>8. Define a sweep objectively: trade at least 1 tick beyond the level, then a 15m close back inside within 2 candles.</t>
        </is>
      </c>
    </row>
    <row r="10">
      <c r="A10" t="inlineStr">
        <is>
          <t>9. Keep the 15m/5m screenshot of every trigger, so you can check the rules later.</t>
        </is>
      </c>
    </row>
    <row r="11">
      <c r="A11" t="inlineStr">
        <is>
          <t>10. Entry only after the full trigger: market order at the close of the candle that completes the last condition. No anticipation, no resting limit orders at the zone. If the move runs past the skip level before you fill, log it as skipped and do not chase.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89"/>
  <sheetViews>
    <sheetView tabSelected="0" workbookViewId="0">
      <selection activeCell="A1" sqref="A1"/>
    </sheetView>
  </sheetViews>
  <sheetFormatPr baseColWidth="8" defaultRowHeight="15"/>
  <cols>
    <col width="26"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s>
  <sheetData>
    <row r="1">
      <c r="A1" s="14" t="inlineStr">
        <is>
          <t>Rules (fixed before testing)</t>
        </is>
      </c>
    </row>
    <row r="2">
      <c r="A2" t="inlineStr">
        <is>
          <t>Data: Yahoo NIFTY 5-minute bars, 2026-07-21 to 2026-10-13 (59 sessions). Index data has no volume.</t>
        </is>
      </c>
    </row>
    <row r="3">
      <c r="A3" t="inlineStr">
        <is>
          <t>Levels: previous day high/low (PDH/PDL), opening range 09:15-09:30 high/low (ORH/ORL), 5m swing highs/lows (2 bars each side, usable once confirmed).</t>
        </is>
      </c>
    </row>
    <row r="4">
      <c r="A4" t="inlineStr">
        <is>
          <t>Signal: a 5m candle trades more than 1 pt beyond an untouched level and closes back inside. Each level is used once.</t>
        </is>
      </c>
    </row>
    <row r="5">
      <c r="A5" t="inlineStr">
        <is>
          <t>Trade: enter at that candle close; stop 5 pts beyond its wick; target = 2 x risk; exit at 15:10 if neither hit; max 3 trades/day, one at a time; no entries after 14:30; skip if risk &lt;10 or &gt;80 pts.</t>
        </is>
      </c>
    </row>
    <row r="6">
      <c r="A6" t="inlineStr">
        <is>
          <t>Costs: 2 index points deducted per trade. If stop and target are hit in the same candle, the stop is assumed first.</t>
        </is>
      </c>
    </row>
    <row r="8">
      <c r="A8" s="14" t="inlineStr">
        <is>
          <t>Target</t>
        </is>
      </c>
      <c r="B8" s="14" t="inlineStr">
        <is>
          <t>Risk cap</t>
        </is>
      </c>
      <c r="C8" s="14" t="inlineStr">
        <is>
          <t>Trades</t>
        </is>
      </c>
      <c r="D8" s="14" t="inlineStr">
        <is>
          <t>Win %</t>
        </is>
      </c>
      <c r="E8" s="14" t="inlineStr">
        <is>
          <t>Avg win (R)</t>
        </is>
      </c>
      <c r="F8" s="14" t="inlineStr">
        <is>
          <t>Avg loss (R)</t>
        </is>
      </c>
      <c r="G8" s="14" t="inlineStr">
        <is>
          <t>Expectancy (R)</t>
        </is>
      </c>
      <c r="H8" s="14" t="inlineStr">
        <is>
          <t>Total R</t>
        </is>
      </c>
      <c r="I8" s="14" t="inlineStr">
        <is>
          <t>Profit factor</t>
        </is>
      </c>
      <c r="J8" s="14" t="inlineStr">
        <is>
          <t>Max drawdown (R)</t>
        </is>
      </c>
      <c r="K8" s="14" t="inlineStr">
        <is>
          <t>Max consecutive losses</t>
        </is>
      </c>
    </row>
    <row r="9">
      <c r="A9" t="inlineStr">
        <is>
          <t>1.0R</t>
        </is>
      </c>
      <c r="B9" t="n">
        <v>40</v>
      </c>
      <c r="C9" t="n">
        <v>142</v>
      </c>
      <c r="D9" t="n">
        <v>53</v>
      </c>
      <c r="E9" t="n">
        <v>0.84</v>
      </c>
      <c r="F9" t="n">
        <v>-1.13</v>
      </c>
      <c r="G9" t="n">
        <v>-0.08699999999999999</v>
      </c>
      <c r="H9" t="n">
        <v>-12.3</v>
      </c>
      <c r="I9" t="n">
        <v>0.84</v>
      </c>
      <c r="J9" t="n">
        <v>-14.4</v>
      </c>
      <c r="K9" t="n">
        <v>5</v>
      </c>
    </row>
    <row r="10">
      <c r="A10" t="inlineStr">
        <is>
          <t>1.0R</t>
        </is>
      </c>
      <c r="B10" t="n">
        <v>80</v>
      </c>
      <c r="C10" t="n">
        <v>144</v>
      </c>
      <c r="D10" t="n">
        <v>53</v>
      </c>
      <c r="E10" t="n">
        <v>0.84</v>
      </c>
      <c r="F10" t="n">
        <v>-1.12</v>
      </c>
      <c r="G10" t="n">
        <v>-0.089</v>
      </c>
      <c r="H10" t="n">
        <v>-12.8</v>
      </c>
      <c r="I10" t="n">
        <v>0.83</v>
      </c>
      <c r="J10" t="n">
        <v>-14.9</v>
      </c>
      <c r="K10" t="n">
        <v>5</v>
      </c>
    </row>
    <row r="11">
      <c r="A11" t="inlineStr">
        <is>
          <t>1.0R</t>
        </is>
      </c>
      <c r="B11" t="inlineStr">
        <is>
          <t>none</t>
        </is>
      </c>
      <c r="C11" t="n">
        <v>142</v>
      </c>
      <c r="D11" t="n">
        <v>53</v>
      </c>
      <c r="E11" t="n">
        <v>0.84</v>
      </c>
      <c r="F11" t="n">
        <v>-1.12</v>
      </c>
      <c r="G11" t="n">
        <v>-0.08799999999999999</v>
      </c>
      <c r="H11" t="n">
        <v>-12.4</v>
      </c>
      <c r="I11" t="n">
        <v>0.83</v>
      </c>
      <c r="J11" t="n">
        <v>-14.9</v>
      </c>
      <c r="K11" t="n">
        <v>5</v>
      </c>
    </row>
    <row r="12">
      <c r="A12" t="inlineStr">
        <is>
          <t>1.5R</t>
        </is>
      </c>
      <c r="B12" t="n">
        <v>40</v>
      </c>
      <c r="C12" t="n">
        <v>139</v>
      </c>
      <c r="D12" t="n">
        <v>44</v>
      </c>
      <c r="E12" t="n">
        <v>1.29</v>
      </c>
      <c r="F12" t="n">
        <v>-1.12</v>
      </c>
      <c r="G12" t="n">
        <v>-0.061</v>
      </c>
      <c r="H12" t="n">
        <v>-8.4</v>
      </c>
      <c r="I12" t="n">
        <v>0.9</v>
      </c>
      <c r="J12" t="n">
        <v>-18.4</v>
      </c>
      <c r="K12" t="n">
        <v>5</v>
      </c>
    </row>
    <row r="13">
      <c r="A13" t="inlineStr">
        <is>
          <t>1.5R</t>
        </is>
      </c>
      <c r="B13" t="n">
        <v>80</v>
      </c>
      <c r="C13" t="n">
        <v>139</v>
      </c>
      <c r="D13" t="n">
        <v>44</v>
      </c>
      <c r="E13" t="n">
        <v>1.27</v>
      </c>
      <c r="F13" t="n">
        <v>-1.12</v>
      </c>
      <c r="G13" t="n">
        <v>-0.075</v>
      </c>
      <c r="H13" t="n">
        <v>-10.4</v>
      </c>
      <c r="I13" t="n">
        <v>0.88</v>
      </c>
      <c r="J13" t="n">
        <v>-17.4</v>
      </c>
      <c r="K13" t="n">
        <v>5</v>
      </c>
    </row>
    <row r="14">
      <c r="A14" t="inlineStr">
        <is>
          <t>1.5R</t>
        </is>
      </c>
      <c r="B14" t="inlineStr">
        <is>
          <t>none</t>
        </is>
      </c>
      <c r="C14" t="n">
        <v>137</v>
      </c>
      <c r="D14" t="n">
        <v>44</v>
      </c>
      <c r="E14" t="n">
        <v>1.27</v>
      </c>
      <c r="F14" t="n">
        <v>-1.12</v>
      </c>
      <c r="G14" t="n">
        <v>-0.076</v>
      </c>
      <c r="H14" t="n">
        <v>-10.4</v>
      </c>
      <c r="I14" t="n">
        <v>0.88</v>
      </c>
      <c r="J14" t="n">
        <v>-17.4</v>
      </c>
      <c r="K14" t="n">
        <v>5</v>
      </c>
    </row>
    <row r="15">
      <c r="A15" t="inlineStr">
        <is>
          <t>2.0R</t>
        </is>
      </c>
      <c r="B15" t="n">
        <v>40</v>
      </c>
      <c r="C15" t="n">
        <v>139</v>
      </c>
      <c r="D15" t="n">
        <v>38</v>
      </c>
      <c r="E15" t="n">
        <v>1.73</v>
      </c>
      <c r="F15" t="n">
        <v>-1.12</v>
      </c>
      <c r="G15" t="n">
        <v>-0.032</v>
      </c>
      <c r="H15" t="n">
        <v>-4.5</v>
      </c>
      <c r="I15" t="n">
        <v>0.95</v>
      </c>
      <c r="J15" t="n">
        <v>-14.1</v>
      </c>
      <c r="K15" t="n">
        <v>7</v>
      </c>
    </row>
    <row r="16">
      <c r="A16" t="inlineStr">
        <is>
          <t>2.0R</t>
        </is>
      </c>
      <c r="B16" t="n">
        <v>80</v>
      </c>
      <c r="C16" t="n">
        <v>139</v>
      </c>
      <c r="D16" t="n">
        <v>39</v>
      </c>
      <c r="E16" t="n">
        <v>1.7</v>
      </c>
      <c r="F16" t="n">
        <v>-1.13</v>
      </c>
      <c r="G16" t="n">
        <v>-0.031</v>
      </c>
      <c r="H16" t="n">
        <v>-4.2</v>
      </c>
      <c r="I16" t="n">
        <v>0.96</v>
      </c>
      <c r="J16" t="n">
        <v>-15</v>
      </c>
      <c r="K16" t="n">
        <v>7</v>
      </c>
    </row>
    <row r="17">
      <c r="A17" t="inlineStr">
        <is>
          <t>2.0R</t>
        </is>
      </c>
      <c r="B17" t="inlineStr">
        <is>
          <t>none</t>
        </is>
      </c>
      <c r="C17" t="n">
        <v>137</v>
      </c>
      <c r="D17" t="n">
        <v>39</v>
      </c>
      <c r="E17" t="n">
        <v>1.69</v>
      </c>
      <c r="F17" t="n">
        <v>-1.13</v>
      </c>
      <c r="G17" t="n">
        <v>-0.037</v>
      </c>
      <c r="H17" t="n">
        <v>-5.1</v>
      </c>
      <c r="I17" t="n">
        <v>0.95</v>
      </c>
      <c r="J17" t="n">
        <v>-15</v>
      </c>
      <c r="K17" t="n">
        <v>7</v>
      </c>
    </row>
    <row r="19">
      <c r="A19" s="14" t="inlineStr">
        <is>
          <t>Base (2R, cap 80) by level</t>
        </is>
      </c>
      <c r="B19" s="14" t="inlineStr">
        <is>
          <t>Trades</t>
        </is>
      </c>
      <c r="C19" s="14" t="inlineStr">
        <is>
          <t>Win %</t>
        </is>
      </c>
      <c r="D19" s="14" t="inlineStr">
        <is>
          <t>Avg win (R)</t>
        </is>
      </c>
      <c r="E19" s="14" t="inlineStr">
        <is>
          <t>Avg loss (R)</t>
        </is>
      </c>
      <c r="F19" s="14" t="inlineStr">
        <is>
          <t>Expectancy (R)</t>
        </is>
      </c>
      <c r="G19" s="14" t="inlineStr">
        <is>
          <t>Total R</t>
        </is>
      </c>
      <c r="H19" s="14" t="inlineStr">
        <is>
          <t>Profit factor</t>
        </is>
      </c>
      <c r="I19" s="14" t="inlineStr">
        <is>
          <t>Max drawdown (R)</t>
        </is>
      </c>
      <c r="J19" s="14" t="inlineStr">
        <is>
          <t>Max consecutive losses</t>
        </is>
      </c>
      <c r="K19" s="14" t="n"/>
    </row>
    <row r="20">
      <c r="A20" t="inlineStr">
        <is>
          <t>PDH</t>
        </is>
      </c>
      <c r="B20" t="n">
        <v>9</v>
      </c>
      <c r="C20" t="n">
        <v>44</v>
      </c>
      <c r="D20" t="n">
        <v>1.46</v>
      </c>
      <c r="E20" t="n">
        <v>-1.12</v>
      </c>
      <c r="F20" t="n">
        <v>0.023</v>
      </c>
      <c r="G20" t="n">
        <v>0.2</v>
      </c>
      <c r="H20" t="n">
        <v>1.04</v>
      </c>
      <c r="I20" t="n">
        <v>-3.7</v>
      </c>
      <c r="J20" t="n">
        <v>3</v>
      </c>
    </row>
    <row r="21">
      <c r="A21" t="inlineStr">
        <is>
          <t>PDL</t>
        </is>
      </c>
      <c r="B21" t="n">
        <v>7</v>
      </c>
      <c r="C21" t="n">
        <v>29</v>
      </c>
      <c r="D21" t="n">
        <v>1.93</v>
      </c>
      <c r="E21" t="n">
        <v>-1.06</v>
      </c>
      <c r="F21" t="n">
        <v>-0.206</v>
      </c>
      <c r="G21" t="n">
        <v>-1.4</v>
      </c>
      <c r="H21" t="n">
        <v>0.73</v>
      </c>
      <c r="I21" t="n">
        <v>-3.2</v>
      </c>
      <c r="J21" t="n">
        <v>3</v>
      </c>
    </row>
    <row r="22">
      <c r="A22" t="inlineStr">
        <is>
          <t>ORH</t>
        </is>
      </c>
      <c r="B22" t="n">
        <v>8</v>
      </c>
      <c r="C22" t="n">
        <v>50</v>
      </c>
      <c r="D22" t="n">
        <v>1.84</v>
      </c>
      <c r="E22" t="n">
        <v>-1.12</v>
      </c>
      <c r="F22" t="n">
        <v>0.36</v>
      </c>
      <c r="G22" t="n">
        <v>2.9</v>
      </c>
      <c r="H22" t="n">
        <v>1.64</v>
      </c>
      <c r="I22" t="n">
        <v>-2.2</v>
      </c>
      <c r="J22" t="n">
        <v>2</v>
      </c>
    </row>
    <row r="23">
      <c r="A23" t="inlineStr">
        <is>
          <t>ORL</t>
        </is>
      </c>
      <c r="B23" t="n">
        <v>15</v>
      </c>
      <c r="C23" t="n">
        <v>27</v>
      </c>
      <c r="D23" t="n">
        <v>1.89</v>
      </c>
      <c r="E23" t="n">
        <v>-1.12</v>
      </c>
      <c r="F23" t="n">
        <v>-0.318</v>
      </c>
      <c r="G23" t="n">
        <v>-4.8</v>
      </c>
      <c r="H23" t="n">
        <v>0.61</v>
      </c>
      <c r="I23" t="n">
        <v>-6.2</v>
      </c>
      <c r="J23" t="n">
        <v>5</v>
      </c>
    </row>
    <row r="24">
      <c r="A24" t="inlineStr">
        <is>
          <t>SH</t>
        </is>
      </c>
      <c r="B24" t="n">
        <v>36</v>
      </c>
      <c r="C24" t="n">
        <v>44</v>
      </c>
      <c r="D24" t="n">
        <v>1.65</v>
      </c>
      <c r="E24" t="n">
        <v>-1.14</v>
      </c>
      <c r="F24" t="n">
        <v>0.098</v>
      </c>
      <c r="G24" t="n">
        <v>3.5</v>
      </c>
      <c r="H24" t="n">
        <v>1.15</v>
      </c>
      <c r="I24" t="n">
        <v>-4.5</v>
      </c>
      <c r="J24" t="n">
        <v>4</v>
      </c>
    </row>
    <row r="25">
      <c r="A25" t="inlineStr">
        <is>
          <t>SL</t>
        </is>
      </c>
      <c r="B25" t="n">
        <v>64</v>
      </c>
      <c r="C25" t="n">
        <v>38</v>
      </c>
      <c r="D25" t="n">
        <v>1.69</v>
      </c>
      <c r="E25" t="n">
        <v>-1.13</v>
      </c>
      <c r="F25" t="n">
        <v>-0.073</v>
      </c>
      <c r="G25" t="n">
        <v>-4.6</v>
      </c>
      <c r="H25" t="n">
        <v>0.9</v>
      </c>
      <c r="I25" t="n">
        <v>-11.7</v>
      </c>
      <c r="J25" t="n">
        <v>8</v>
      </c>
    </row>
    <row r="27">
      <c r="A27" s="14" t="inlineStr">
        <is>
          <t>By side</t>
        </is>
      </c>
      <c r="B27" s="14" t="inlineStr">
        <is>
          <t>Trades</t>
        </is>
      </c>
      <c r="C27" s="14" t="inlineStr">
        <is>
          <t>Win %</t>
        </is>
      </c>
      <c r="D27" s="14" t="inlineStr">
        <is>
          <t>Avg win (R)</t>
        </is>
      </c>
      <c r="E27" s="14" t="inlineStr">
        <is>
          <t>Avg loss (R)</t>
        </is>
      </c>
      <c r="F27" s="14" t="inlineStr">
        <is>
          <t>Expectancy (R)</t>
        </is>
      </c>
      <c r="G27" s="14" t="inlineStr">
        <is>
          <t>Total R</t>
        </is>
      </c>
      <c r="H27" s="14" t="inlineStr">
        <is>
          <t>Profit factor</t>
        </is>
      </c>
      <c r="I27" s="14" t="inlineStr">
        <is>
          <t>Max drawdown (R)</t>
        </is>
      </c>
      <c r="J27" s="14" t="inlineStr">
        <is>
          <t>Max consecutive losses</t>
        </is>
      </c>
      <c r="K27" s="14" t="n"/>
    </row>
    <row r="28">
      <c r="A28" t="inlineStr">
        <is>
          <t>Long</t>
        </is>
      </c>
      <c r="B28" t="n">
        <v>86</v>
      </c>
      <c r="C28" t="n">
        <v>35</v>
      </c>
      <c r="D28" t="n">
        <v>1.73</v>
      </c>
      <c r="E28" t="n">
        <v>-1.12</v>
      </c>
      <c r="F28" t="n">
        <v>-0.126</v>
      </c>
      <c r="G28" t="n">
        <v>-10.9</v>
      </c>
      <c r="H28" t="n">
        <v>0.83</v>
      </c>
      <c r="I28" t="n">
        <v>-16.5</v>
      </c>
      <c r="J28" t="n">
        <v>6</v>
      </c>
    </row>
    <row r="29">
      <c r="A29" t="inlineStr">
        <is>
          <t>Short</t>
        </is>
      </c>
      <c r="B29" t="n">
        <v>53</v>
      </c>
      <c r="C29" t="n">
        <v>45</v>
      </c>
      <c r="D29" t="n">
        <v>1.65</v>
      </c>
      <c r="E29" t="n">
        <v>-1.14</v>
      </c>
      <c r="F29" t="n">
        <v>0.125</v>
      </c>
      <c r="G29" t="n">
        <v>6.6</v>
      </c>
      <c r="H29" t="n">
        <v>1.2</v>
      </c>
      <c r="I29" t="n">
        <v>-4.9</v>
      </c>
      <c r="J29" t="n">
        <v>4</v>
      </c>
    </row>
    <row r="31">
      <c r="A31" s="14" t="inlineStr">
        <is>
          <t>By entry hour</t>
        </is>
      </c>
      <c r="B31" s="14" t="inlineStr">
        <is>
          <t>Trades</t>
        </is>
      </c>
      <c r="C31" s="14" t="inlineStr">
        <is>
          <t>Win %</t>
        </is>
      </c>
      <c r="D31" s="14" t="inlineStr">
        <is>
          <t>Avg win (R)</t>
        </is>
      </c>
      <c r="E31" s="14" t="inlineStr">
        <is>
          <t>Avg loss (R)</t>
        </is>
      </c>
      <c r="F31" s="14" t="inlineStr">
        <is>
          <t>Expectancy (R)</t>
        </is>
      </c>
      <c r="G31" s="14" t="inlineStr">
        <is>
          <t>Total R</t>
        </is>
      </c>
      <c r="H31" s="14" t="inlineStr">
        <is>
          <t>Profit factor</t>
        </is>
      </c>
      <c r="I31" s="14" t="inlineStr">
        <is>
          <t>Max drawdown (R)</t>
        </is>
      </c>
      <c r="J31" s="14" t="inlineStr">
        <is>
          <t>Max consecutive losses</t>
        </is>
      </c>
      <c r="K31" s="14" t="n"/>
    </row>
    <row r="32">
      <c r="A32" t="inlineStr">
        <is>
          <t>09:00</t>
        </is>
      </c>
      <c r="B32" t="n">
        <v>27</v>
      </c>
      <c r="C32" t="n">
        <v>33</v>
      </c>
      <c r="D32" t="n">
        <v>1.7</v>
      </c>
      <c r="E32" t="n">
        <v>-1.09</v>
      </c>
      <c r="F32" t="n">
        <v>-0.164</v>
      </c>
      <c r="G32" t="n">
        <v>-4.4</v>
      </c>
      <c r="H32" t="n">
        <v>0.77</v>
      </c>
      <c r="I32" t="n">
        <v>-8</v>
      </c>
      <c r="J32" t="n">
        <v>4</v>
      </c>
    </row>
    <row r="33">
      <c r="A33" t="inlineStr">
        <is>
          <t>10:00</t>
        </is>
      </c>
      <c r="B33" t="n">
        <v>25</v>
      </c>
      <c r="C33" t="n">
        <v>40</v>
      </c>
      <c r="D33" t="n">
        <v>1.87</v>
      </c>
      <c r="E33" t="n">
        <v>-1.13</v>
      </c>
      <c r="F33" t="n">
        <v>0.068</v>
      </c>
      <c r="G33" t="n">
        <v>1.7</v>
      </c>
      <c r="H33" t="n">
        <v>1.1</v>
      </c>
      <c r="I33" t="n">
        <v>-3.9</v>
      </c>
      <c r="J33" t="n">
        <v>3</v>
      </c>
    </row>
    <row r="34">
      <c r="A34" t="inlineStr">
        <is>
          <t>11:00</t>
        </is>
      </c>
      <c r="B34" t="n">
        <v>26</v>
      </c>
      <c r="C34" t="n">
        <v>38</v>
      </c>
      <c r="D34" t="n">
        <v>1.87</v>
      </c>
      <c r="E34" t="n">
        <v>-1.12</v>
      </c>
      <c r="F34" t="n">
        <v>0.027</v>
      </c>
      <c r="G34" t="n">
        <v>0.7</v>
      </c>
      <c r="H34" t="n">
        <v>1.04</v>
      </c>
      <c r="I34" t="n">
        <v>-6.8</v>
      </c>
      <c r="J34" t="n">
        <v>6</v>
      </c>
    </row>
    <row r="35">
      <c r="A35" t="inlineStr">
        <is>
          <t>12:00</t>
        </is>
      </c>
      <c r="B35" t="n">
        <v>26</v>
      </c>
      <c r="C35" t="n">
        <v>35</v>
      </c>
      <c r="D35" t="n">
        <v>1.81</v>
      </c>
      <c r="E35" t="n">
        <v>-1.15</v>
      </c>
      <c r="F35" t="n">
        <v>-0.129</v>
      </c>
      <c r="G35" t="n">
        <v>-3.3</v>
      </c>
      <c r="H35" t="n">
        <v>0.83</v>
      </c>
      <c r="I35" t="n">
        <v>-7.4</v>
      </c>
      <c r="J35" t="n">
        <v>4</v>
      </c>
    </row>
    <row r="36">
      <c r="A36" t="inlineStr">
        <is>
          <t>13:00</t>
        </is>
      </c>
      <c r="B36" t="n">
        <v>21</v>
      </c>
      <c r="C36" t="n">
        <v>57</v>
      </c>
      <c r="D36" t="n">
        <v>1.72</v>
      </c>
      <c r="E36" t="n">
        <v>-1.14</v>
      </c>
      <c r="F36" t="n">
        <v>0.49</v>
      </c>
      <c r="G36" t="n">
        <v>10.3</v>
      </c>
      <c r="H36" t="n">
        <v>2</v>
      </c>
      <c r="I36" t="n">
        <v>-3.4</v>
      </c>
      <c r="J36" t="n">
        <v>3</v>
      </c>
    </row>
    <row r="37">
      <c r="A37" t="inlineStr">
        <is>
          <t>14:00</t>
        </is>
      </c>
      <c r="B37" t="n">
        <v>14</v>
      </c>
      <c r="C37" t="n">
        <v>29</v>
      </c>
      <c r="D37" t="n">
        <v>0.53</v>
      </c>
      <c r="E37" t="n">
        <v>-1.13</v>
      </c>
      <c r="F37" t="n">
        <v>-0.654</v>
      </c>
      <c r="G37" t="n">
        <v>-9.199999999999999</v>
      </c>
      <c r="H37" t="n">
        <v>0.19</v>
      </c>
      <c r="I37" t="n">
        <v>-9.4</v>
      </c>
      <c r="J37" t="n">
        <v>6</v>
      </c>
    </row>
    <row r="39">
      <c r="A39" s="14" t="inlineStr">
        <is>
          <t>By weekday</t>
        </is>
      </c>
      <c r="B39" s="14" t="inlineStr">
        <is>
          <t>Trades</t>
        </is>
      </c>
      <c r="C39" s="14" t="inlineStr">
        <is>
          <t>Win %</t>
        </is>
      </c>
      <c r="D39" s="14" t="inlineStr">
        <is>
          <t>Avg win (R)</t>
        </is>
      </c>
      <c r="E39" s="14" t="inlineStr">
        <is>
          <t>Avg loss (R)</t>
        </is>
      </c>
      <c r="F39" s="14" t="inlineStr">
        <is>
          <t>Expectancy (R)</t>
        </is>
      </c>
      <c r="G39" s="14" t="inlineStr">
        <is>
          <t>Total R</t>
        </is>
      </c>
      <c r="H39" s="14" t="inlineStr">
        <is>
          <t>Profit factor</t>
        </is>
      </c>
      <c r="I39" s="14" t="inlineStr">
        <is>
          <t>Max drawdown (R)</t>
        </is>
      </c>
      <c r="J39" s="14" t="inlineStr">
        <is>
          <t>Max consecutive losses</t>
        </is>
      </c>
      <c r="K39" s="14" t="n"/>
    </row>
    <row r="40">
      <c r="A40" t="inlineStr">
        <is>
          <t>Mon</t>
        </is>
      </c>
      <c r="B40" t="n">
        <v>26</v>
      </c>
      <c r="C40" t="n">
        <v>38</v>
      </c>
      <c r="D40" t="n">
        <v>1.87</v>
      </c>
      <c r="E40" t="n">
        <v>-1.13</v>
      </c>
      <c r="F40" t="n">
        <v>0.024</v>
      </c>
      <c r="G40" t="n">
        <v>0.6</v>
      </c>
      <c r="H40" t="n">
        <v>1.03</v>
      </c>
      <c r="I40" t="n">
        <v>-5.7</v>
      </c>
      <c r="J40" t="n">
        <v>3</v>
      </c>
    </row>
    <row r="41">
      <c r="A41" t="inlineStr">
        <is>
          <t>Tue</t>
        </is>
      </c>
      <c r="B41" t="n">
        <v>35</v>
      </c>
      <c r="C41" t="n">
        <v>34</v>
      </c>
      <c r="D41" t="n">
        <v>1.28</v>
      </c>
      <c r="E41" t="n">
        <v>-1.13</v>
      </c>
      <c r="F41" t="n">
        <v>-0.301</v>
      </c>
      <c r="G41" t="n">
        <v>-10.6</v>
      </c>
      <c r="H41" t="n">
        <v>0.59</v>
      </c>
      <c r="I41" t="n">
        <v>-18.6</v>
      </c>
      <c r="J41" t="n">
        <v>8</v>
      </c>
    </row>
    <row r="42">
      <c r="A42" t="inlineStr">
        <is>
          <t>Wed</t>
        </is>
      </c>
      <c r="B42" t="n">
        <v>25</v>
      </c>
      <c r="C42" t="n">
        <v>40</v>
      </c>
      <c r="D42" t="n">
        <v>1.84</v>
      </c>
      <c r="E42" t="n">
        <v>-1.13</v>
      </c>
      <c r="F42" t="n">
        <v>0.059</v>
      </c>
      <c r="G42" t="n">
        <v>1.5</v>
      </c>
      <c r="H42" t="n">
        <v>1.09</v>
      </c>
      <c r="I42" t="n">
        <v>-4.9</v>
      </c>
      <c r="J42" t="n">
        <v>3</v>
      </c>
    </row>
    <row r="43">
      <c r="A43" t="inlineStr">
        <is>
          <t>Thu</t>
        </is>
      </c>
      <c r="B43" t="n">
        <v>30</v>
      </c>
      <c r="C43" t="n">
        <v>43</v>
      </c>
      <c r="D43" t="n">
        <v>1.85</v>
      </c>
      <c r="E43" t="n">
        <v>-1.12</v>
      </c>
      <c r="F43" t="n">
        <v>0.17</v>
      </c>
      <c r="G43" t="n">
        <v>5.1</v>
      </c>
      <c r="H43" t="n">
        <v>1.27</v>
      </c>
      <c r="I43" t="n">
        <v>-3.4</v>
      </c>
      <c r="J43" t="n">
        <v>3</v>
      </c>
    </row>
    <row r="44">
      <c r="A44" t="inlineStr">
        <is>
          <t>Fri</t>
        </is>
      </c>
      <c r="B44" t="n">
        <v>23</v>
      </c>
      <c r="C44" t="n">
        <v>39</v>
      </c>
      <c r="D44" t="n">
        <v>1.68</v>
      </c>
      <c r="E44" t="n">
        <v>-1.14</v>
      </c>
      <c r="F44" t="n">
        <v>-0.039</v>
      </c>
      <c r="G44" t="n">
        <v>-0.9</v>
      </c>
      <c r="H44" t="n">
        <v>0.9399999999999999</v>
      </c>
      <c r="I44" t="n">
        <v>-8.5</v>
      </c>
      <c r="J44" t="n">
        <v>4</v>
      </c>
    </row>
    <row r="46">
      <c r="A46" s="14" t="inlineStr">
        <is>
          <t>Expiry day</t>
        </is>
      </c>
      <c r="B46" s="14" t="inlineStr">
        <is>
          <t>Trades</t>
        </is>
      </c>
      <c r="C46" s="14" t="inlineStr">
        <is>
          <t>Win %</t>
        </is>
      </c>
      <c r="D46" s="14" t="inlineStr">
        <is>
          <t>Avg win (R)</t>
        </is>
      </c>
      <c r="E46" s="14" t="inlineStr">
        <is>
          <t>Avg loss (R)</t>
        </is>
      </c>
      <c r="F46" s="14" t="inlineStr">
        <is>
          <t>Expectancy (R)</t>
        </is>
      </c>
      <c r="G46" s="14" t="inlineStr">
        <is>
          <t>Total R</t>
        </is>
      </c>
      <c r="H46" s="14" t="inlineStr">
        <is>
          <t>Profit factor</t>
        </is>
      </c>
      <c r="I46" s="14" t="inlineStr">
        <is>
          <t>Max drawdown (R)</t>
        </is>
      </c>
      <c r="J46" s="14" t="inlineStr">
        <is>
          <t>Max consecutive losses</t>
        </is>
      </c>
      <c r="K46" s="14" t="n"/>
    </row>
    <row r="47">
      <c r="A47" t="inlineStr">
        <is>
          <t>Expiry day</t>
        </is>
      </c>
      <c r="B47" t="n">
        <v>35</v>
      </c>
      <c r="C47" t="n">
        <v>34</v>
      </c>
      <c r="D47" t="n">
        <v>1.28</v>
      </c>
      <c r="E47" t="n">
        <v>-1.13</v>
      </c>
      <c r="F47" t="n">
        <v>-0.301</v>
      </c>
      <c r="G47" t="n">
        <v>-10.6</v>
      </c>
      <c r="H47" t="n">
        <v>0.59</v>
      </c>
      <c r="I47" t="n">
        <v>-18.6</v>
      </c>
      <c r="J47" t="n">
        <v>8</v>
      </c>
    </row>
    <row r="48">
      <c r="A48" t="inlineStr">
        <is>
          <t>Other days</t>
        </is>
      </c>
      <c r="B48" t="n">
        <v>104</v>
      </c>
      <c r="C48" t="n">
        <v>40</v>
      </c>
      <c r="D48" t="n">
        <v>1.82</v>
      </c>
      <c r="E48" t="n">
        <v>-1.13</v>
      </c>
      <c r="F48" t="n">
        <v>0.061</v>
      </c>
      <c r="G48" t="n">
        <v>6.3</v>
      </c>
      <c r="H48" t="n">
        <v>1.09</v>
      </c>
      <c r="I48" t="n">
        <v>-10.1</v>
      </c>
      <c r="J48" t="n">
        <v>7</v>
      </c>
    </row>
    <row r="50">
      <c r="A50" s="14" t="inlineStr">
        <is>
          <t>Trade list (base)</t>
        </is>
      </c>
      <c r="B50" s="14" t="inlineStr">
        <is>
          <t>Time</t>
        </is>
      </c>
      <c r="C50" s="14" t="inlineStr">
        <is>
          <t>Level</t>
        </is>
      </c>
      <c r="D50" s="14" t="inlineStr">
        <is>
          <t>Level price</t>
        </is>
      </c>
      <c r="E50" s="14" t="inlineStr">
        <is>
          <t>Side</t>
        </is>
      </c>
      <c r="F50" s="14" t="inlineStr">
        <is>
          <t>Entry</t>
        </is>
      </c>
      <c r="G50" s="14" t="inlineStr">
        <is>
          <t>Stop</t>
        </is>
      </c>
      <c r="H50" s="14" t="inlineStr">
        <is>
          <t>Target</t>
        </is>
      </c>
      <c r="I50" s="14" t="inlineStr">
        <is>
          <t>Risk</t>
        </is>
      </c>
      <c r="J50" s="14" t="inlineStr">
        <is>
          <t>Exit</t>
        </is>
      </c>
      <c r="K50" s="14" t="inlineStr">
        <is>
          <t>Exit time</t>
        </is>
      </c>
      <c r="L50" s="14" t="inlineStr">
        <is>
          <t>Points (net)</t>
        </is>
      </c>
      <c r="M50" s="14" t="inlineStr">
        <is>
          <t>R</t>
        </is>
      </c>
      <c r="N50" s="14" t="inlineStr">
        <is>
          <t>Expiry day</t>
        </is>
      </c>
    </row>
    <row r="51">
      <c r="A51" t="inlineStr">
        <is>
          <t>2026-07-21</t>
        </is>
      </c>
      <c r="B51" t="inlineStr">
        <is>
          <t>10:15</t>
        </is>
      </c>
      <c r="C51" t="inlineStr">
        <is>
          <t>ORL</t>
        </is>
      </c>
      <c r="D51" t="n">
        <v>24206.85</v>
      </c>
      <c r="E51" t="inlineStr">
        <is>
          <t>Long</t>
        </is>
      </c>
      <c r="F51" t="n">
        <v>24207.45</v>
      </c>
      <c r="G51" t="n">
        <v>24197.25</v>
      </c>
      <c r="H51" t="n">
        <v>24227.85</v>
      </c>
      <c r="I51" t="n">
        <v>10.2</v>
      </c>
      <c r="J51" t="n">
        <v>24197.25</v>
      </c>
      <c r="K51" t="inlineStr">
        <is>
          <t>10:20</t>
        </is>
      </c>
      <c r="L51" t="n">
        <v>-12.2</v>
      </c>
      <c r="M51" t="n">
        <v>-1.2</v>
      </c>
      <c r="N51" t="inlineStr">
        <is>
          <t>Yes</t>
        </is>
      </c>
    </row>
    <row r="52">
      <c r="A52" t="inlineStr">
        <is>
          <t>2026-07-21</t>
        </is>
      </c>
      <c r="B52" t="inlineStr">
        <is>
          <t>12:35</t>
        </is>
      </c>
      <c r="C52" t="inlineStr">
        <is>
          <t>SH</t>
        </is>
      </c>
      <c r="D52" t="n">
        <v>24188.1</v>
      </c>
      <c r="E52" t="inlineStr">
        <is>
          <t>Short</t>
        </is>
      </c>
      <c r="F52" t="n">
        <v>24179.1</v>
      </c>
      <c r="G52" t="n">
        <v>24195.5</v>
      </c>
      <c r="H52" t="n">
        <v>24146.3</v>
      </c>
      <c r="I52" t="n">
        <v>16.4</v>
      </c>
      <c r="J52" t="n">
        <v>24146.3</v>
      </c>
      <c r="K52" t="inlineStr">
        <is>
          <t>13:00</t>
        </is>
      </c>
      <c r="L52" t="n">
        <v>30.8</v>
      </c>
      <c r="M52" t="n">
        <v>1.88</v>
      </c>
      <c r="N52" t="inlineStr">
        <is>
          <t>Yes</t>
        </is>
      </c>
    </row>
    <row r="53">
      <c r="A53" t="inlineStr">
        <is>
          <t>2026-07-21</t>
        </is>
      </c>
      <c r="B53" t="inlineStr">
        <is>
          <t>14:15</t>
        </is>
      </c>
      <c r="C53" t="inlineStr">
        <is>
          <t>SL</t>
        </is>
      </c>
      <c r="D53" t="n">
        <v>24158.45</v>
      </c>
      <c r="E53" t="inlineStr">
        <is>
          <t>Long</t>
        </is>
      </c>
      <c r="F53" t="n">
        <v>24176.25</v>
      </c>
      <c r="G53" t="n">
        <v>24149.3</v>
      </c>
      <c r="H53" t="n">
        <v>24230.15</v>
      </c>
      <c r="I53" t="n">
        <v>26.95</v>
      </c>
      <c r="J53" t="n">
        <v>24183.85</v>
      </c>
      <c r="K53" t="inlineStr">
        <is>
          <t>15:10</t>
        </is>
      </c>
      <c r="L53" t="n">
        <v>5.6</v>
      </c>
      <c r="M53" t="n">
        <v>0.21</v>
      </c>
      <c r="N53" t="inlineStr">
        <is>
          <t>Yes</t>
        </is>
      </c>
    </row>
    <row r="54">
      <c r="A54" t="inlineStr">
        <is>
          <t>2026-07-22</t>
        </is>
      </c>
      <c r="B54" t="inlineStr">
        <is>
          <t>12:20</t>
        </is>
      </c>
      <c r="C54" t="inlineStr">
        <is>
          <t>SL</t>
        </is>
      </c>
      <c r="D54" t="n">
        <v>23973.85</v>
      </c>
      <c r="E54" t="inlineStr">
        <is>
          <t>Long</t>
        </is>
      </c>
      <c r="F54" t="n">
        <v>23988.8</v>
      </c>
      <c r="G54" t="n">
        <v>23963.65</v>
      </c>
      <c r="H54" t="n">
        <v>24039.1</v>
      </c>
      <c r="I54" t="n">
        <v>25.15</v>
      </c>
      <c r="J54" t="n">
        <v>23963.65</v>
      </c>
      <c r="K54" t="inlineStr">
        <is>
          <t>12:35</t>
        </is>
      </c>
      <c r="L54" t="n">
        <v>-27.15</v>
      </c>
      <c r="M54" t="n">
        <v>-1.08</v>
      </c>
    </row>
    <row r="55">
      <c r="A55" t="inlineStr">
        <is>
          <t>2026-07-22</t>
        </is>
      </c>
      <c r="B55" t="inlineStr">
        <is>
          <t>12:40</t>
        </is>
      </c>
      <c r="C55" t="inlineStr">
        <is>
          <t>SL</t>
        </is>
      </c>
      <c r="D55" t="n">
        <v>23968.65</v>
      </c>
      <c r="E55" t="inlineStr">
        <is>
          <t>Long</t>
        </is>
      </c>
      <c r="F55" t="n">
        <v>23983.25</v>
      </c>
      <c r="G55" t="n">
        <v>23956.6</v>
      </c>
      <c r="H55" t="n">
        <v>24036.55</v>
      </c>
      <c r="I55" t="n">
        <v>26.65</v>
      </c>
      <c r="J55" t="n">
        <v>24021.15</v>
      </c>
      <c r="K55" t="inlineStr">
        <is>
          <t>15:10</t>
        </is>
      </c>
      <c r="L55" t="n">
        <v>35.9</v>
      </c>
      <c r="M55" t="n">
        <v>1.35</v>
      </c>
    </row>
    <row r="56">
      <c r="A56" t="inlineStr">
        <is>
          <t>2026-07-23</t>
        </is>
      </c>
      <c r="B56" t="inlineStr">
        <is>
          <t>11:30</t>
        </is>
      </c>
      <c r="C56" t="inlineStr">
        <is>
          <t>SL</t>
        </is>
      </c>
      <c r="D56" t="n">
        <v>23943.8</v>
      </c>
      <c r="E56" t="inlineStr">
        <is>
          <t>Long</t>
        </is>
      </c>
      <c r="F56" t="n">
        <v>23952.95</v>
      </c>
      <c r="G56" t="n">
        <v>23936.95</v>
      </c>
      <c r="H56" t="n">
        <v>23984.95</v>
      </c>
      <c r="I56" t="n">
        <v>16</v>
      </c>
      <c r="J56" t="n">
        <v>23936.95</v>
      </c>
      <c r="K56" t="inlineStr">
        <is>
          <t>11:50</t>
        </is>
      </c>
      <c r="L56" t="n">
        <v>-18</v>
      </c>
      <c r="M56" t="n">
        <v>-1.12</v>
      </c>
    </row>
    <row r="57">
      <c r="A57" t="inlineStr">
        <is>
          <t>2026-07-23</t>
        </is>
      </c>
      <c r="B57" t="inlineStr">
        <is>
          <t>11:55</t>
        </is>
      </c>
      <c r="C57" t="inlineStr">
        <is>
          <t>SL</t>
        </is>
      </c>
      <c r="D57" t="n">
        <v>23939.95</v>
      </c>
      <c r="E57" t="inlineStr">
        <is>
          <t>Long</t>
        </is>
      </c>
      <c r="F57" t="n">
        <v>23953.7</v>
      </c>
      <c r="G57" t="n">
        <v>23928.9</v>
      </c>
      <c r="H57" t="n">
        <v>24003.3</v>
      </c>
      <c r="I57" t="n">
        <v>24.8</v>
      </c>
      <c r="J57" t="n">
        <v>23928.9</v>
      </c>
      <c r="K57" t="inlineStr">
        <is>
          <t>12:20</t>
        </is>
      </c>
      <c r="L57" t="n">
        <v>-26.8</v>
      </c>
      <c r="M57" t="n">
        <v>-1.08</v>
      </c>
    </row>
    <row r="58">
      <c r="A58" t="inlineStr">
        <is>
          <t>2026-07-23</t>
        </is>
      </c>
      <c r="B58" t="inlineStr">
        <is>
          <t>12:30</t>
        </is>
      </c>
      <c r="C58" t="inlineStr">
        <is>
          <t>SL</t>
        </is>
      </c>
      <c r="D58" t="n">
        <v>23892.6</v>
      </c>
      <c r="E58" t="inlineStr">
        <is>
          <t>Long</t>
        </is>
      </c>
      <c r="F58" t="n">
        <v>23899.35</v>
      </c>
      <c r="G58" t="n">
        <v>23878.35</v>
      </c>
      <c r="H58" t="n">
        <v>23941.35</v>
      </c>
      <c r="I58" t="n">
        <v>21</v>
      </c>
      <c r="J58" t="n">
        <v>23878.35</v>
      </c>
      <c r="K58" t="inlineStr">
        <is>
          <t>12:40</t>
        </is>
      </c>
      <c r="L58" t="n">
        <v>-23</v>
      </c>
      <c r="M58" t="n">
        <v>-1.1</v>
      </c>
    </row>
    <row r="59">
      <c r="A59" t="inlineStr">
        <is>
          <t>2026-07-24</t>
        </is>
      </c>
      <c r="B59" t="inlineStr">
        <is>
          <t>13:35</t>
        </is>
      </c>
      <c r="C59" t="inlineStr">
        <is>
          <t>SL</t>
        </is>
      </c>
      <c r="D59" t="n">
        <v>23763.3</v>
      </c>
      <c r="E59" t="inlineStr">
        <is>
          <t>Long</t>
        </is>
      </c>
      <c r="F59" t="n">
        <v>23766.3</v>
      </c>
      <c r="G59" t="n">
        <v>23747.2</v>
      </c>
      <c r="H59" t="n">
        <v>23804.5</v>
      </c>
      <c r="I59" t="n">
        <v>19.1</v>
      </c>
      <c r="J59" t="n">
        <v>23747.2</v>
      </c>
      <c r="K59" t="inlineStr">
        <is>
          <t>13:40</t>
        </is>
      </c>
      <c r="L59" t="n">
        <v>-21.1</v>
      </c>
      <c r="M59" t="n">
        <v>-1.1</v>
      </c>
    </row>
    <row r="60">
      <c r="A60" t="inlineStr">
        <is>
          <t>2026-07-27</t>
        </is>
      </c>
      <c r="B60" t="inlineStr">
        <is>
          <t>10:30</t>
        </is>
      </c>
      <c r="C60" t="inlineStr">
        <is>
          <t>SL</t>
        </is>
      </c>
      <c r="D60" t="n">
        <v>23909</v>
      </c>
      <c r="E60" t="inlineStr">
        <is>
          <t>Long</t>
        </is>
      </c>
      <c r="F60" t="n">
        <v>23915.9</v>
      </c>
      <c r="G60" t="n">
        <v>23901.5</v>
      </c>
      <c r="H60" t="n">
        <v>23944.7</v>
      </c>
      <c r="I60" t="n">
        <v>14.4</v>
      </c>
      <c r="J60" t="n">
        <v>23901.5</v>
      </c>
      <c r="K60" t="inlineStr">
        <is>
          <t>10:35</t>
        </is>
      </c>
      <c r="L60" t="n">
        <v>-16.4</v>
      </c>
      <c r="M60" t="n">
        <v>-1.14</v>
      </c>
    </row>
    <row r="61">
      <c r="A61" t="inlineStr">
        <is>
          <t>2026-07-27</t>
        </is>
      </c>
      <c r="B61" t="inlineStr">
        <is>
          <t>10:40</t>
        </is>
      </c>
      <c r="C61" t="inlineStr">
        <is>
          <t>ORL</t>
        </is>
      </c>
      <c r="D61" t="n">
        <v>23897.2</v>
      </c>
      <c r="E61" t="inlineStr">
        <is>
          <t>Long</t>
        </is>
      </c>
      <c r="F61" t="n">
        <v>23925.3</v>
      </c>
      <c r="G61" t="n">
        <v>23887.25</v>
      </c>
      <c r="H61" t="n">
        <v>24001.4</v>
      </c>
      <c r="I61" t="n">
        <v>38.05</v>
      </c>
      <c r="J61" t="n">
        <v>24001.4</v>
      </c>
      <c r="K61" t="inlineStr">
        <is>
          <t>14:25</t>
        </is>
      </c>
      <c r="L61" t="n">
        <v>74.09999999999999</v>
      </c>
      <c r="M61" t="n">
        <v>1.95</v>
      </c>
    </row>
    <row r="62">
      <c r="A62" t="inlineStr">
        <is>
          <t>2026-07-28</t>
        </is>
      </c>
      <c r="B62" t="inlineStr">
        <is>
          <t>10:00</t>
        </is>
      </c>
      <c r="C62" t="inlineStr">
        <is>
          <t>ORL</t>
        </is>
      </c>
      <c r="D62" t="n">
        <v>23969.25</v>
      </c>
      <c r="E62" t="inlineStr">
        <is>
          <t>Long</t>
        </is>
      </c>
      <c r="F62" t="n">
        <v>23973</v>
      </c>
      <c r="G62" t="n">
        <v>23962.15</v>
      </c>
      <c r="H62" t="n">
        <v>23994.7</v>
      </c>
      <c r="I62" t="n">
        <v>10.85</v>
      </c>
      <c r="J62" t="n">
        <v>23962.15</v>
      </c>
      <c r="K62" t="inlineStr">
        <is>
          <t>10:05</t>
        </is>
      </c>
      <c r="L62" t="n">
        <v>-12.85</v>
      </c>
      <c r="M62" t="n">
        <v>-1.18</v>
      </c>
      <c r="N62" t="inlineStr">
        <is>
          <t>Yes</t>
        </is>
      </c>
    </row>
    <row r="63">
      <c r="A63" t="inlineStr">
        <is>
          <t>2026-07-28</t>
        </is>
      </c>
      <c r="B63" t="inlineStr">
        <is>
          <t>10:30</t>
        </is>
      </c>
      <c r="C63" t="inlineStr">
        <is>
          <t>SH</t>
        </is>
      </c>
      <c r="D63" t="n">
        <v>24006.1</v>
      </c>
      <c r="E63" t="inlineStr">
        <is>
          <t>Short</t>
        </is>
      </c>
      <c r="F63" t="n">
        <v>23998.8</v>
      </c>
      <c r="G63" t="n">
        <v>24012.3</v>
      </c>
      <c r="H63" t="n">
        <v>23971.8</v>
      </c>
      <c r="I63" t="n">
        <v>13.5</v>
      </c>
      <c r="J63" t="n">
        <v>24012.3</v>
      </c>
      <c r="K63" t="inlineStr">
        <is>
          <t>10:35</t>
        </is>
      </c>
      <c r="L63" t="n">
        <v>-15.5</v>
      </c>
      <c r="M63" t="n">
        <v>-1.15</v>
      </c>
      <c r="N63" t="inlineStr">
        <is>
          <t>Yes</t>
        </is>
      </c>
    </row>
    <row r="64">
      <c r="A64" t="inlineStr">
        <is>
          <t>2026-07-28</t>
        </is>
      </c>
      <c r="B64" t="inlineStr">
        <is>
          <t>12:35</t>
        </is>
      </c>
      <c r="C64" t="inlineStr">
        <is>
          <t>SL</t>
        </is>
      </c>
      <c r="D64" t="n">
        <v>24010.85</v>
      </c>
      <c r="E64" t="inlineStr">
        <is>
          <t>Long</t>
        </is>
      </c>
      <c r="F64" t="n">
        <v>24018.95</v>
      </c>
      <c r="G64" t="n">
        <v>24004.4</v>
      </c>
      <c r="H64" t="n">
        <v>24048.05</v>
      </c>
      <c r="I64" t="n">
        <v>14.55</v>
      </c>
      <c r="J64" t="n">
        <v>24004.4</v>
      </c>
      <c r="K64" t="inlineStr">
        <is>
          <t>12:55</t>
        </is>
      </c>
      <c r="L64" t="n">
        <v>-16.55</v>
      </c>
      <c r="M64" t="n">
        <v>-1.14</v>
      </c>
      <c r="N64" t="inlineStr">
        <is>
          <t>Yes</t>
        </is>
      </c>
    </row>
    <row r="65">
      <c r="A65" t="inlineStr">
        <is>
          <t>2026-07-30</t>
        </is>
      </c>
      <c r="B65" t="inlineStr">
        <is>
          <t>09:30</t>
        </is>
      </c>
      <c r="C65" t="inlineStr">
        <is>
          <t>PDH</t>
        </is>
      </c>
      <c r="D65" t="n">
        <v>24283</v>
      </c>
      <c r="E65" t="inlineStr">
        <is>
          <t>Short</t>
        </is>
      </c>
      <c r="F65" t="n">
        <v>24274.4</v>
      </c>
      <c r="G65" t="n">
        <v>24292.25</v>
      </c>
      <c r="H65" t="n">
        <v>24238.7</v>
      </c>
      <c r="I65" t="n">
        <v>17.85</v>
      </c>
      <c r="J65" t="n">
        <v>24238.7</v>
      </c>
      <c r="K65" t="inlineStr">
        <is>
          <t>10:20</t>
        </is>
      </c>
      <c r="L65" t="n">
        <v>33.7</v>
      </c>
      <c r="M65" t="n">
        <v>1.89</v>
      </c>
    </row>
    <row r="66">
      <c r="A66" t="inlineStr">
        <is>
          <t>2026-07-30</t>
        </is>
      </c>
      <c r="B66" t="inlineStr">
        <is>
          <t>12:10</t>
        </is>
      </c>
      <c r="C66" t="inlineStr">
        <is>
          <t>SL</t>
        </is>
      </c>
      <c r="D66" t="n">
        <v>24251.05</v>
      </c>
      <c r="E66" t="inlineStr">
        <is>
          <t>Long</t>
        </is>
      </c>
      <c r="F66" t="n">
        <v>24254.1</v>
      </c>
      <c r="G66" t="n">
        <v>24243.85</v>
      </c>
      <c r="H66" t="n">
        <v>24274.6</v>
      </c>
      <c r="I66" t="n">
        <v>10.25</v>
      </c>
      <c r="J66" t="n">
        <v>24274.6</v>
      </c>
      <c r="K66" t="inlineStr">
        <is>
          <t>12:30</t>
        </is>
      </c>
      <c r="L66" t="n">
        <v>18.5</v>
      </c>
      <c r="M66" t="n">
        <v>1.8</v>
      </c>
    </row>
    <row r="67">
      <c r="A67" t="inlineStr">
        <is>
          <t>2026-07-30</t>
        </is>
      </c>
      <c r="B67" t="inlineStr">
        <is>
          <t>14:15</t>
        </is>
      </c>
      <c r="C67" t="inlineStr">
        <is>
          <t>SL</t>
        </is>
      </c>
      <c r="D67" t="n">
        <v>24248.85</v>
      </c>
      <c r="E67" t="inlineStr">
        <is>
          <t>Long</t>
        </is>
      </c>
      <c r="F67" t="n">
        <v>24257.2</v>
      </c>
      <c r="G67" t="n">
        <v>24242.7</v>
      </c>
      <c r="H67" t="n">
        <v>24286.2</v>
      </c>
      <c r="I67" t="n">
        <v>14.5</v>
      </c>
      <c r="J67" t="n">
        <v>24242.7</v>
      </c>
      <c r="K67" t="inlineStr">
        <is>
          <t>14:20</t>
        </is>
      </c>
      <c r="L67" t="n">
        <v>-16.5</v>
      </c>
      <c r="M67" t="n">
        <v>-1.14</v>
      </c>
    </row>
    <row r="68">
      <c r="A68" t="inlineStr">
        <is>
          <t>2026-07-31</t>
        </is>
      </c>
      <c r="B68" t="inlineStr">
        <is>
          <t>11:10</t>
        </is>
      </c>
      <c r="C68" t="inlineStr">
        <is>
          <t>SL</t>
        </is>
      </c>
      <c r="D68" t="n">
        <v>24336.15</v>
      </c>
      <c r="E68" t="inlineStr">
        <is>
          <t>Long</t>
        </is>
      </c>
      <c r="F68" t="n">
        <v>24357.75</v>
      </c>
      <c r="G68" t="n">
        <v>24329.15</v>
      </c>
      <c r="H68" t="n">
        <v>24414.95</v>
      </c>
      <c r="I68" t="n">
        <v>28.6</v>
      </c>
      <c r="J68" t="n">
        <v>24414.95</v>
      </c>
      <c r="K68" t="inlineStr">
        <is>
          <t>12:55</t>
        </is>
      </c>
      <c r="L68" t="n">
        <v>55.2</v>
      </c>
      <c r="M68" t="n">
        <v>1.93</v>
      </c>
    </row>
    <row r="69">
      <c r="A69" t="inlineStr">
        <is>
          <t>2026-07-31</t>
        </is>
      </c>
      <c r="B69" t="inlineStr">
        <is>
          <t>13:25</t>
        </is>
      </c>
      <c r="C69" t="inlineStr">
        <is>
          <t>SH</t>
        </is>
      </c>
      <c r="D69" t="n">
        <v>24427.85</v>
      </c>
      <c r="E69" t="inlineStr">
        <is>
          <t>Short</t>
        </is>
      </c>
      <c r="F69" t="n">
        <v>24417.85</v>
      </c>
      <c r="G69" t="n">
        <v>24434.4</v>
      </c>
      <c r="H69" t="n">
        <v>24384.75</v>
      </c>
      <c r="I69" t="n">
        <v>16.55</v>
      </c>
      <c r="J69" t="n">
        <v>24384.75</v>
      </c>
      <c r="K69" t="inlineStr">
        <is>
          <t>14:30</t>
        </is>
      </c>
      <c r="L69" t="n">
        <v>31.1</v>
      </c>
      <c r="M69" t="n">
        <v>1.88</v>
      </c>
    </row>
    <row r="70">
      <c r="A70" t="inlineStr">
        <is>
          <t>2026-08-03</t>
        </is>
      </c>
      <c r="B70" t="inlineStr">
        <is>
          <t>09:55</t>
        </is>
      </c>
      <c r="C70" t="inlineStr">
        <is>
          <t>ORH</t>
        </is>
      </c>
      <c r="D70" t="n">
        <v>24568</v>
      </c>
      <c r="E70" t="inlineStr">
        <is>
          <t>Short</t>
        </is>
      </c>
      <c r="F70" t="n">
        <v>24564.7</v>
      </c>
      <c r="G70" t="n">
        <v>24576.6</v>
      </c>
      <c r="H70" t="n">
        <v>24540.9</v>
      </c>
      <c r="I70" t="n">
        <v>11.9</v>
      </c>
      <c r="J70" t="n">
        <v>24576.6</v>
      </c>
      <c r="K70" t="inlineStr">
        <is>
          <t>10:10</t>
        </is>
      </c>
      <c r="L70" t="n">
        <v>-13.9</v>
      </c>
      <c r="M70" t="n">
        <v>-1.17</v>
      </c>
    </row>
    <row r="71">
      <c r="A71" t="inlineStr">
        <is>
          <t>2026-08-03</t>
        </is>
      </c>
      <c r="B71" t="inlineStr">
        <is>
          <t>10:55</t>
        </is>
      </c>
      <c r="C71" t="inlineStr">
        <is>
          <t>SH</t>
        </is>
      </c>
      <c r="D71" t="n">
        <v>24592.45</v>
      </c>
      <c r="E71" t="inlineStr">
        <is>
          <t>Short</t>
        </is>
      </c>
      <c r="F71" t="n">
        <v>24586.45</v>
      </c>
      <c r="G71" t="n">
        <v>24600.45</v>
      </c>
      <c r="H71" t="n">
        <v>24558.45</v>
      </c>
      <c r="I71" t="n">
        <v>14</v>
      </c>
      <c r="J71" t="n">
        <v>24600.45</v>
      </c>
      <c r="K71" t="inlineStr">
        <is>
          <t>11:00</t>
        </is>
      </c>
      <c r="L71" t="n">
        <v>-16</v>
      </c>
      <c r="M71" t="n">
        <v>-1.14</v>
      </c>
    </row>
    <row r="72">
      <c r="A72" t="inlineStr">
        <is>
          <t>2026-08-03</t>
        </is>
      </c>
      <c r="B72" t="inlineStr">
        <is>
          <t>11:30</t>
        </is>
      </c>
      <c r="C72" t="inlineStr">
        <is>
          <t>SL</t>
        </is>
      </c>
      <c r="D72" t="n">
        <v>24584.9</v>
      </c>
      <c r="E72" t="inlineStr">
        <is>
          <t>Long</t>
        </is>
      </c>
      <c r="F72" t="n">
        <v>24585.45</v>
      </c>
      <c r="G72" t="n">
        <v>24574.8</v>
      </c>
      <c r="H72" t="n">
        <v>24606.75</v>
      </c>
      <c r="I72" t="n">
        <v>10.65</v>
      </c>
      <c r="J72" t="n">
        <v>24606.75</v>
      </c>
      <c r="K72" t="inlineStr">
        <is>
          <t>12:15</t>
        </is>
      </c>
      <c r="L72" t="n">
        <v>19.3</v>
      </c>
      <c r="M72" t="n">
        <v>1.81</v>
      </c>
    </row>
    <row r="73">
      <c r="A73" t="inlineStr">
        <is>
          <t>2026-08-04</t>
        </is>
      </c>
      <c r="B73" t="inlineStr">
        <is>
          <t>11:35</t>
        </is>
      </c>
      <c r="C73" t="inlineStr">
        <is>
          <t>SL</t>
        </is>
      </c>
      <c r="D73" t="n">
        <v>24569.05</v>
      </c>
      <c r="E73" t="inlineStr">
        <is>
          <t>Long</t>
        </is>
      </c>
      <c r="F73" t="n">
        <v>24571.05</v>
      </c>
      <c r="G73" t="n">
        <v>24555.15</v>
      </c>
      <c r="H73" t="n">
        <v>24602.85</v>
      </c>
      <c r="I73" t="n">
        <v>15.9</v>
      </c>
      <c r="J73" t="n">
        <v>24555.15</v>
      </c>
      <c r="K73" t="inlineStr">
        <is>
          <t>11:40</t>
        </is>
      </c>
      <c r="L73" t="n">
        <v>-17.9</v>
      </c>
      <c r="M73" t="n">
        <v>-1.13</v>
      </c>
      <c r="N73" t="inlineStr">
        <is>
          <t>Yes</t>
        </is>
      </c>
    </row>
    <row r="74">
      <c r="A74" t="inlineStr">
        <is>
          <t>2026-08-04</t>
        </is>
      </c>
      <c r="B74" t="inlineStr">
        <is>
          <t>12:00</t>
        </is>
      </c>
      <c r="C74" t="inlineStr">
        <is>
          <t>PDL</t>
        </is>
      </c>
      <c r="D74" t="n">
        <v>24515.5</v>
      </c>
      <c r="E74" t="inlineStr">
        <is>
          <t>Long</t>
        </is>
      </c>
      <c r="F74" t="n">
        <v>24521.9</v>
      </c>
      <c r="G74" t="n">
        <v>24500.55</v>
      </c>
      <c r="H74" t="n">
        <v>24564.6</v>
      </c>
      <c r="I74" t="n">
        <v>21.35</v>
      </c>
      <c r="J74" t="n">
        <v>24500.55</v>
      </c>
      <c r="K74" t="inlineStr">
        <is>
          <t>12:10</t>
        </is>
      </c>
      <c r="L74" t="n">
        <v>-23.35</v>
      </c>
      <c r="M74" t="n">
        <v>-1.09</v>
      </c>
      <c r="N74" t="inlineStr">
        <is>
          <t>Yes</t>
        </is>
      </c>
    </row>
    <row r="75">
      <c r="A75" t="inlineStr">
        <is>
          <t>2026-08-04</t>
        </is>
      </c>
      <c r="B75" t="inlineStr">
        <is>
          <t>12:35</t>
        </is>
      </c>
      <c r="C75" t="inlineStr">
        <is>
          <t>SL</t>
        </is>
      </c>
      <c r="D75" t="n">
        <v>24496.95</v>
      </c>
      <c r="E75" t="inlineStr">
        <is>
          <t>Long</t>
        </is>
      </c>
      <c r="F75" t="n">
        <v>24503.25</v>
      </c>
      <c r="G75" t="n">
        <v>24486.6</v>
      </c>
      <c r="H75" t="n">
        <v>24536.55</v>
      </c>
      <c r="I75" t="n">
        <v>16.65</v>
      </c>
      <c r="J75" t="n">
        <v>24486.6</v>
      </c>
      <c r="K75" t="inlineStr">
        <is>
          <t>13:05</t>
        </is>
      </c>
      <c r="L75" t="n">
        <v>-18.65</v>
      </c>
      <c r="M75" t="n">
        <v>-1.12</v>
      </c>
      <c r="N75" t="inlineStr">
        <is>
          <t>Yes</t>
        </is>
      </c>
    </row>
    <row r="76">
      <c r="A76" t="inlineStr">
        <is>
          <t>2026-08-05</t>
        </is>
      </c>
      <c r="B76" t="inlineStr">
        <is>
          <t>09:15</t>
        </is>
      </c>
      <c r="C76" t="inlineStr">
        <is>
          <t>PDH</t>
        </is>
      </c>
      <c r="D76" t="n">
        <v>24666.65</v>
      </c>
      <c r="E76" t="inlineStr">
        <is>
          <t>Short</t>
        </is>
      </c>
      <c r="F76" t="n">
        <v>24635.2</v>
      </c>
      <c r="G76" t="n">
        <v>24674.2</v>
      </c>
      <c r="H76" t="n">
        <v>24557.2</v>
      </c>
      <c r="I76" t="n">
        <v>39</v>
      </c>
      <c r="J76" t="n">
        <v>24557.2</v>
      </c>
      <c r="K76" t="inlineStr">
        <is>
          <t>12:30</t>
        </is>
      </c>
      <c r="L76" t="n">
        <v>76</v>
      </c>
      <c r="M76" t="n">
        <v>1.95</v>
      </c>
    </row>
    <row r="77">
      <c r="A77" t="inlineStr">
        <is>
          <t>2026-08-05</t>
        </is>
      </c>
      <c r="B77" t="inlineStr">
        <is>
          <t>14:05</t>
        </is>
      </c>
      <c r="C77" t="inlineStr">
        <is>
          <t>SH</t>
        </is>
      </c>
      <c r="D77" t="n">
        <v>24532.5</v>
      </c>
      <c r="E77" t="inlineStr">
        <is>
          <t>Short</t>
        </is>
      </c>
      <c r="F77" t="n">
        <v>24523.45</v>
      </c>
      <c r="G77" t="n">
        <v>24539.3</v>
      </c>
      <c r="H77" t="n">
        <v>24491.75</v>
      </c>
      <c r="I77" t="n">
        <v>15.85</v>
      </c>
      <c r="J77" t="n">
        <v>24539.3</v>
      </c>
      <c r="K77" t="inlineStr">
        <is>
          <t>15:05</t>
        </is>
      </c>
      <c r="L77" t="n">
        <v>-17.85</v>
      </c>
      <c r="M77" t="n">
        <v>-1.13</v>
      </c>
    </row>
    <row r="78">
      <c r="A78" t="inlineStr">
        <is>
          <t>2026-08-06</t>
        </is>
      </c>
      <c r="B78" t="inlineStr">
        <is>
          <t>09:30</t>
        </is>
      </c>
      <c r="C78" t="inlineStr">
        <is>
          <t>ORH</t>
        </is>
      </c>
      <c r="D78" t="n">
        <v>24646.9</v>
      </c>
      <c r="E78" t="inlineStr">
        <is>
          <t>Short</t>
        </is>
      </c>
      <c r="F78" t="n">
        <v>24624.55</v>
      </c>
      <c r="G78" t="n">
        <v>24654.3</v>
      </c>
      <c r="H78" t="n">
        <v>24565.05</v>
      </c>
      <c r="I78" t="n">
        <v>29.75</v>
      </c>
      <c r="J78" t="n">
        <v>24654.3</v>
      </c>
      <c r="K78" t="inlineStr">
        <is>
          <t>09:45</t>
        </is>
      </c>
      <c r="L78" t="n">
        <v>-31.75</v>
      </c>
      <c r="M78" t="n">
        <v>-1.07</v>
      </c>
    </row>
    <row r="79">
      <c r="A79" t="inlineStr">
        <is>
          <t>2026-08-06</t>
        </is>
      </c>
      <c r="B79" t="inlineStr">
        <is>
          <t>10:00</t>
        </is>
      </c>
      <c r="C79" t="inlineStr">
        <is>
          <t>ORL</t>
        </is>
      </c>
      <c r="D79" t="n">
        <v>24607.75</v>
      </c>
      <c r="E79" t="inlineStr">
        <is>
          <t>Long</t>
        </is>
      </c>
      <c r="F79" t="n">
        <v>24614.55</v>
      </c>
      <c r="G79" t="n">
        <v>24601.45</v>
      </c>
      <c r="H79" t="n">
        <v>24640.75</v>
      </c>
      <c r="I79" t="n">
        <v>13.1</v>
      </c>
      <c r="J79" t="n">
        <v>24640.75</v>
      </c>
      <c r="K79" t="inlineStr">
        <is>
          <t>10:30</t>
        </is>
      </c>
      <c r="L79" t="n">
        <v>24.2</v>
      </c>
      <c r="M79" t="n">
        <v>1.85</v>
      </c>
    </row>
    <row r="80">
      <c r="A80" t="inlineStr">
        <is>
          <t>2026-08-06</t>
        </is>
      </c>
      <c r="B80" t="inlineStr">
        <is>
          <t>12:55</t>
        </is>
      </c>
      <c r="C80" t="inlineStr">
        <is>
          <t>SL</t>
        </is>
      </c>
      <c r="D80" t="n">
        <v>24626.9</v>
      </c>
      <c r="E80" t="inlineStr">
        <is>
          <t>Long</t>
        </is>
      </c>
      <c r="F80" t="n">
        <v>24629.05</v>
      </c>
      <c r="G80" t="n">
        <v>24617.05</v>
      </c>
      <c r="H80" t="n">
        <v>24653.05</v>
      </c>
      <c r="I80" t="n">
        <v>12</v>
      </c>
      <c r="J80" t="n">
        <v>24617.05</v>
      </c>
      <c r="K80" t="inlineStr">
        <is>
          <t>13:15</t>
        </is>
      </c>
      <c r="L80" t="n">
        <v>-14</v>
      </c>
      <c r="M80" t="n">
        <v>-1.17</v>
      </c>
    </row>
    <row r="81">
      <c r="A81" t="inlineStr">
        <is>
          <t>2026-08-07</t>
        </is>
      </c>
      <c r="B81" t="inlineStr">
        <is>
          <t>11:25</t>
        </is>
      </c>
      <c r="C81" t="inlineStr">
        <is>
          <t>SH</t>
        </is>
      </c>
      <c r="D81" t="n">
        <v>24586.5</v>
      </c>
      <c r="E81" t="inlineStr">
        <is>
          <t>Short</t>
        </is>
      </c>
      <c r="F81" t="n">
        <v>24584.8</v>
      </c>
      <c r="G81" t="n">
        <v>24596.6</v>
      </c>
      <c r="H81" t="n">
        <v>24561.2</v>
      </c>
      <c r="I81" t="n">
        <v>11.8</v>
      </c>
      <c r="J81" t="n">
        <v>24561.2</v>
      </c>
      <c r="K81" t="inlineStr">
        <is>
          <t>11:50</t>
        </is>
      </c>
      <c r="L81" t="n">
        <v>21.6</v>
      </c>
      <c r="M81" t="n">
        <v>1.83</v>
      </c>
    </row>
    <row r="82">
      <c r="A82" t="inlineStr">
        <is>
          <t>2026-08-07</t>
        </is>
      </c>
      <c r="B82" t="inlineStr">
        <is>
          <t>12:05</t>
        </is>
      </c>
      <c r="C82" t="inlineStr">
        <is>
          <t>SL</t>
        </is>
      </c>
      <c r="D82" t="n">
        <v>24550.65</v>
      </c>
      <c r="E82" t="inlineStr">
        <is>
          <t>Long</t>
        </is>
      </c>
      <c r="F82" t="n">
        <v>24551.45</v>
      </c>
      <c r="G82" t="n">
        <v>24540.75</v>
      </c>
      <c r="H82" t="n">
        <v>24572.85</v>
      </c>
      <c r="I82" t="n">
        <v>10.7</v>
      </c>
      <c r="J82" t="n">
        <v>24540.75</v>
      </c>
      <c r="K82" t="inlineStr">
        <is>
          <t>12:10</t>
        </is>
      </c>
      <c r="L82" t="n">
        <v>-12.7</v>
      </c>
      <c r="M82" t="n">
        <v>-1.19</v>
      </c>
    </row>
    <row r="83">
      <c r="A83" t="inlineStr">
        <is>
          <t>2026-08-07</t>
        </is>
      </c>
      <c r="B83" t="inlineStr">
        <is>
          <t>13:25</t>
        </is>
      </c>
      <c r="C83" t="inlineStr">
        <is>
          <t>SH</t>
        </is>
      </c>
      <c r="D83" t="n">
        <v>24570.05</v>
      </c>
      <c r="E83" t="inlineStr">
        <is>
          <t>Short</t>
        </is>
      </c>
      <c r="F83" t="n">
        <v>24565.95</v>
      </c>
      <c r="G83" t="n">
        <v>24578.5</v>
      </c>
      <c r="H83" t="n">
        <v>24540.85</v>
      </c>
      <c r="I83" t="n">
        <v>12.55</v>
      </c>
      <c r="J83" t="n">
        <v>24578.5</v>
      </c>
      <c r="K83" t="inlineStr">
        <is>
          <t>13:50</t>
        </is>
      </c>
      <c r="L83" t="n">
        <v>-14.55</v>
      </c>
      <c r="M83" t="n">
        <v>-1.16</v>
      </c>
    </row>
    <row r="84">
      <c r="A84" t="inlineStr">
        <is>
          <t>2026-08-10</t>
        </is>
      </c>
      <c r="B84" t="inlineStr">
        <is>
          <t>09:35</t>
        </is>
      </c>
      <c r="C84" t="inlineStr">
        <is>
          <t>PDL</t>
        </is>
      </c>
      <c r="D84" t="n">
        <v>24522.9</v>
      </c>
      <c r="E84" t="inlineStr">
        <is>
          <t>Long</t>
        </is>
      </c>
      <c r="F84" t="n">
        <v>24528.05</v>
      </c>
      <c r="G84" t="n">
        <v>24506.3</v>
      </c>
      <c r="H84" t="n">
        <v>24571.55</v>
      </c>
      <c r="I84" t="n">
        <v>21.75</v>
      </c>
      <c r="J84" t="n">
        <v>24571.55</v>
      </c>
      <c r="K84" t="inlineStr">
        <is>
          <t>10:15</t>
        </is>
      </c>
      <c r="L84" t="n">
        <v>41.5</v>
      </c>
      <c r="M84" t="n">
        <v>1.91</v>
      </c>
    </row>
    <row r="85">
      <c r="A85" t="inlineStr">
        <is>
          <t>2026-08-10</t>
        </is>
      </c>
      <c r="B85" t="inlineStr">
        <is>
          <t>12:15</t>
        </is>
      </c>
      <c r="C85" t="inlineStr">
        <is>
          <t>SH</t>
        </is>
      </c>
      <c r="D85" t="n">
        <v>24614.4</v>
      </c>
      <c r="E85" t="inlineStr">
        <is>
          <t>Short</t>
        </is>
      </c>
      <c r="F85" t="n">
        <v>24608</v>
      </c>
      <c r="G85" t="n">
        <v>24623.9</v>
      </c>
      <c r="H85" t="n">
        <v>24576.2</v>
      </c>
      <c r="I85" t="n">
        <v>15.9</v>
      </c>
      <c r="J85" t="n">
        <v>24576.2</v>
      </c>
      <c r="K85" t="inlineStr">
        <is>
          <t>13:10</t>
        </is>
      </c>
      <c r="L85" t="n">
        <v>29.8</v>
      </c>
      <c r="M85" t="n">
        <v>1.87</v>
      </c>
    </row>
    <row r="86">
      <c r="A86" t="inlineStr">
        <is>
          <t>2026-08-10</t>
        </is>
      </c>
      <c r="B86" t="inlineStr">
        <is>
          <t>13:15</t>
        </is>
      </c>
      <c r="C86" t="inlineStr">
        <is>
          <t>SL</t>
        </is>
      </c>
      <c r="D86" t="n">
        <v>24574.65</v>
      </c>
      <c r="E86" t="inlineStr">
        <is>
          <t>Long</t>
        </is>
      </c>
      <c r="F86" t="n">
        <v>24586.85</v>
      </c>
      <c r="G86" t="n">
        <v>24568.1</v>
      </c>
      <c r="H86" t="n">
        <v>24624.35</v>
      </c>
      <c r="I86" t="n">
        <v>18.75</v>
      </c>
      <c r="J86" t="n">
        <v>24568.1</v>
      </c>
      <c r="K86" t="inlineStr">
        <is>
          <t>14:35</t>
        </is>
      </c>
      <c r="L86" t="n">
        <v>-20.75</v>
      </c>
      <c r="M86" t="n">
        <v>-1.11</v>
      </c>
    </row>
    <row r="87">
      <c r="A87" t="inlineStr">
        <is>
          <t>2026-08-11</t>
        </is>
      </c>
      <c r="B87" t="inlineStr">
        <is>
          <t>09:30</t>
        </is>
      </c>
      <c r="C87" t="inlineStr">
        <is>
          <t>ORL</t>
        </is>
      </c>
      <c r="D87" t="n">
        <v>24487.4</v>
      </c>
      <c r="E87" t="inlineStr">
        <is>
          <t>Long</t>
        </is>
      </c>
      <c r="F87" t="n">
        <v>24488.35</v>
      </c>
      <c r="G87" t="n">
        <v>24474.05</v>
      </c>
      <c r="H87" t="n">
        <v>24516.95</v>
      </c>
      <c r="I87" t="n">
        <v>14.3</v>
      </c>
      <c r="J87" t="n">
        <v>24474.05</v>
      </c>
      <c r="K87" t="inlineStr">
        <is>
          <t>09:40</t>
        </is>
      </c>
      <c r="L87" t="n">
        <v>-16.3</v>
      </c>
      <c r="M87" t="n">
        <v>-1.14</v>
      </c>
      <c r="N87" t="inlineStr">
        <is>
          <t>Yes</t>
        </is>
      </c>
    </row>
    <row r="88">
      <c r="A88" t="inlineStr">
        <is>
          <t>2026-08-11</t>
        </is>
      </c>
      <c r="B88" t="inlineStr">
        <is>
          <t>11:25</t>
        </is>
      </c>
      <c r="C88" t="inlineStr">
        <is>
          <t>SL</t>
        </is>
      </c>
      <c r="D88" t="n">
        <v>24440.4</v>
      </c>
      <c r="E88" t="inlineStr">
        <is>
          <t>Long</t>
        </is>
      </c>
      <c r="F88" t="n">
        <v>24442.6</v>
      </c>
      <c r="G88" t="n">
        <v>24432.55</v>
      </c>
      <c r="H88" t="n">
        <v>24462.7</v>
      </c>
      <c r="I88" t="n">
        <v>10.05</v>
      </c>
      <c r="J88" t="n">
        <v>24432.55</v>
      </c>
      <c r="K88" t="inlineStr">
        <is>
          <t>12:00</t>
        </is>
      </c>
      <c r="L88" t="n">
        <v>-12.05</v>
      </c>
      <c r="M88" t="n">
        <v>-1.2</v>
      </c>
      <c r="N88" t="inlineStr">
        <is>
          <t>Yes</t>
        </is>
      </c>
    </row>
    <row r="89">
      <c r="A89" t="inlineStr">
        <is>
          <t>2026-08-11</t>
        </is>
      </c>
      <c r="B89" t="inlineStr">
        <is>
          <t>13:25</t>
        </is>
      </c>
      <c r="C89" t="inlineStr">
        <is>
          <t>SH</t>
        </is>
      </c>
      <c r="D89" t="n">
        <v>24466.65</v>
      </c>
      <c r="E89" t="inlineStr">
        <is>
          <t>Short</t>
        </is>
      </c>
      <c r="F89" t="n">
        <v>24455.05</v>
      </c>
      <c r="G89" t="n">
        <v>24479.9</v>
      </c>
      <c r="H89" t="n">
        <v>24405.35</v>
      </c>
      <c r="I89" t="n">
        <v>24.85</v>
      </c>
      <c r="J89" t="n">
        <v>24450</v>
      </c>
      <c r="K89" t="inlineStr">
        <is>
          <t>15:10</t>
        </is>
      </c>
      <c r="L89" t="n">
        <v>3.05</v>
      </c>
      <c r="M89" t="n">
        <v>0.12</v>
      </c>
      <c r="N89" t="inlineStr">
        <is>
          <t>Yes</t>
        </is>
      </c>
    </row>
    <row r="90">
      <c r="A90" t="inlineStr">
        <is>
          <t>2026-08-12</t>
        </is>
      </c>
      <c r="B90" t="inlineStr">
        <is>
          <t>11:30</t>
        </is>
      </c>
      <c r="C90" t="inlineStr">
        <is>
          <t>SL</t>
        </is>
      </c>
      <c r="D90" t="n">
        <v>24293.7</v>
      </c>
      <c r="E90" t="inlineStr">
        <is>
          <t>Long</t>
        </is>
      </c>
      <c r="F90" t="n">
        <v>24301.7</v>
      </c>
      <c r="G90" t="n">
        <v>24281.2</v>
      </c>
      <c r="H90" t="n">
        <v>24342.7</v>
      </c>
      <c r="I90" t="n">
        <v>20.5</v>
      </c>
      <c r="J90" t="n">
        <v>24281.2</v>
      </c>
      <c r="K90" t="inlineStr">
        <is>
          <t>11:40</t>
        </is>
      </c>
      <c r="L90" t="n">
        <v>-22.5</v>
      </c>
      <c r="M90" t="n">
        <v>-1.1</v>
      </c>
    </row>
    <row r="91">
      <c r="A91" t="inlineStr">
        <is>
          <t>2026-08-12</t>
        </is>
      </c>
      <c r="B91" t="inlineStr">
        <is>
          <t>11:55</t>
        </is>
      </c>
      <c r="C91" t="inlineStr">
        <is>
          <t>SL</t>
        </is>
      </c>
      <c r="D91" t="n">
        <v>24278.5</v>
      </c>
      <c r="E91" t="inlineStr">
        <is>
          <t>Long</t>
        </is>
      </c>
      <c r="F91" t="n">
        <v>24279.55</v>
      </c>
      <c r="G91" t="n">
        <v>24266.25</v>
      </c>
      <c r="H91" t="n">
        <v>24306.15</v>
      </c>
      <c r="I91" t="n">
        <v>13.3</v>
      </c>
      <c r="J91" t="n">
        <v>24266.25</v>
      </c>
      <c r="K91" t="inlineStr">
        <is>
          <t>12:10</t>
        </is>
      </c>
      <c r="L91" t="n">
        <v>-15.3</v>
      </c>
      <c r="M91" t="n">
        <v>-1.15</v>
      </c>
    </row>
    <row r="92">
      <c r="A92" t="inlineStr">
        <is>
          <t>2026-08-12</t>
        </is>
      </c>
      <c r="B92" t="inlineStr">
        <is>
          <t>13:55</t>
        </is>
      </c>
      <c r="C92" t="inlineStr">
        <is>
          <t>SL</t>
        </is>
      </c>
      <c r="D92" t="n">
        <v>24282</v>
      </c>
      <c r="E92" t="inlineStr">
        <is>
          <t>Long</t>
        </is>
      </c>
      <c r="F92" t="n">
        <v>24286.45</v>
      </c>
      <c r="G92" t="n">
        <v>24275</v>
      </c>
      <c r="H92" t="n">
        <v>24309.35</v>
      </c>
      <c r="I92" t="n">
        <v>11.45</v>
      </c>
      <c r="J92" t="n">
        <v>24309.35</v>
      </c>
      <c r="K92" t="inlineStr">
        <is>
          <t>14:30</t>
        </is>
      </c>
      <c r="L92" t="n">
        <v>20.9</v>
      </c>
      <c r="M92" t="n">
        <v>1.83</v>
      </c>
    </row>
    <row r="93">
      <c r="A93" t="inlineStr">
        <is>
          <t>2026-08-13</t>
        </is>
      </c>
      <c r="B93" t="inlineStr">
        <is>
          <t>10:30</t>
        </is>
      </c>
      <c r="C93" t="inlineStr">
        <is>
          <t>SL</t>
        </is>
      </c>
      <c r="D93" t="n">
        <v>24316.5</v>
      </c>
      <c r="E93" t="inlineStr">
        <is>
          <t>Long</t>
        </is>
      </c>
      <c r="F93" t="n">
        <v>24322.05</v>
      </c>
      <c r="G93" t="n">
        <v>24306.45</v>
      </c>
      <c r="H93" t="n">
        <v>24353.25</v>
      </c>
      <c r="I93" t="n">
        <v>15.6</v>
      </c>
      <c r="J93" t="n">
        <v>24353.25</v>
      </c>
      <c r="K93" t="inlineStr">
        <is>
          <t>11:35</t>
        </is>
      </c>
      <c r="L93" t="n">
        <v>29.2</v>
      </c>
      <c r="M93" t="n">
        <v>1.87</v>
      </c>
    </row>
    <row r="94">
      <c r="A94" t="inlineStr">
        <is>
          <t>2026-08-13</t>
        </is>
      </c>
      <c r="B94" t="inlineStr">
        <is>
          <t>11:40</t>
        </is>
      </c>
      <c r="C94" t="inlineStr">
        <is>
          <t>SH</t>
        </is>
      </c>
      <c r="D94" t="n">
        <v>24356.65</v>
      </c>
      <c r="E94" t="inlineStr">
        <is>
          <t>Short</t>
        </is>
      </c>
      <c r="F94" t="n">
        <v>24350.05</v>
      </c>
      <c r="G94" t="n">
        <v>24368.35</v>
      </c>
      <c r="H94" t="n">
        <v>24313.45</v>
      </c>
      <c r="I94" t="n">
        <v>18.3</v>
      </c>
      <c r="J94" t="n">
        <v>24368.35</v>
      </c>
      <c r="K94" t="inlineStr">
        <is>
          <t>11:55</t>
        </is>
      </c>
      <c r="L94" t="n">
        <v>-20.3</v>
      </c>
      <c r="M94" t="n">
        <v>-1.11</v>
      </c>
    </row>
    <row r="95">
      <c r="A95" t="inlineStr">
        <is>
          <t>2026-08-14</t>
        </is>
      </c>
      <c r="B95" t="inlineStr">
        <is>
          <t>09:30</t>
        </is>
      </c>
      <c r="C95" t="inlineStr">
        <is>
          <t>ORL</t>
        </is>
      </c>
      <c r="D95" t="n">
        <v>24307.2</v>
      </c>
      <c r="E95" t="inlineStr">
        <is>
          <t>Long</t>
        </is>
      </c>
      <c r="F95" t="n">
        <v>24325.75</v>
      </c>
      <c r="G95" t="n">
        <v>24299.6</v>
      </c>
      <c r="H95" t="n">
        <v>24378.05</v>
      </c>
      <c r="I95" t="n">
        <v>26.15</v>
      </c>
      <c r="J95" t="n">
        <v>24299.6</v>
      </c>
      <c r="K95" t="inlineStr">
        <is>
          <t>10:30</t>
        </is>
      </c>
      <c r="L95" t="n">
        <v>-28.15</v>
      </c>
      <c r="M95" t="n">
        <v>-1.08</v>
      </c>
    </row>
    <row r="96">
      <c r="A96" t="inlineStr">
        <is>
          <t>2026-08-14</t>
        </is>
      </c>
      <c r="B96" t="inlineStr">
        <is>
          <t>11:45</t>
        </is>
      </c>
      <c r="C96" t="inlineStr">
        <is>
          <t>SH</t>
        </is>
      </c>
      <c r="D96" t="n">
        <v>24332.25</v>
      </c>
      <c r="E96" t="inlineStr">
        <is>
          <t>Short</t>
        </is>
      </c>
      <c r="F96" t="n">
        <v>24326.95</v>
      </c>
      <c r="G96" t="n">
        <v>24341.95</v>
      </c>
      <c r="H96" t="n">
        <v>24296.95</v>
      </c>
      <c r="I96" t="n">
        <v>15</v>
      </c>
      <c r="J96" t="n">
        <v>24341.95</v>
      </c>
      <c r="K96" t="inlineStr">
        <is>
          <t>12:10</t>
        </is>
      </c>
      <c r="L96" t="n">
        <v>-17</v>
      </c>
      <c r="M96" t="n">
        <v>-1.13</v>
      </c>
    </row>
    <row r="97">
      <c r="A97" t="inlineStr">
        <is>
          <t>2026-08-17</t>
        </is>
      </c>
      <c r="B97" t="inlineStr">
        <is>
          <t>09:15</t>
        </is>
      </c>
      <c r="C97" t="inlineStr">
        <is>
          <t>PDL</t>
        </is>
      </c>
      <c r="D97" t="n">
        <v>24298.35</v>
      </c>
      <c r="E97" t="inlineStr">
        <is>
          <t>Long</t>
        </is>
      </c>
      <c r="F97" t="n">
        <v>24306.65</v>
      </c>
      <c r="G97" t="n">
        <v>24278.05</v>
      </c>
      <c r="H97" t="n">
        <v>24363.85</v>
      </c>
      <c r="I97" t="n">
        <v>28.6</v>
      </c>
      <c r="J97" t="n">
        <v>24278.05</v>
      </c>
      <c r="K97" t="inlineStr">
        <is>
          <t>10:10</t>
        </is>
      </c>
      <c r="L97" t="n">
        <v>-30.6</v>
      </c>
      <c r="M97" t="n">
        <v>-1.07</v>
      </c>
    </row>
    <row r="98">
      <c r="A98" t="inlineStr">
        <is>
          <t>2026-08-17</t>
        </is>
      </c>
      <c r="B98" t="inlineStr">
        <is>
          <t>13:40</t>
        </is>
      </c>
      <c r="C98" t="inlineStr">
        <is>
          <t>ORH</t>
        </is>
      </c>
      <c r="D98" t="n">
        <v>24357.6</v>
      </c>
      <c r="E98" t="inlineStr">
        <is>
          <t>Short</t>
        </is>
      </c>
      <c r="F98" t="n">
        <v>24353.25</v>
      </c>
      <c r="G98" t="n">
        <v>24364.3</v>
      </c>
      <c r="H98" t="n">
        <v>24331.15</v>
      </c>
      <c r="I98" t="n">
        <v>11.05</v>
      </c>
      <c r="J98" t="n">
        <v>24331.15</v>
      </c>
      <c r="K98" t="inlineStr">
        <is>
          <t>14:10</t>
        </is>
      </c>
      <c r="L98" t="n">
        <v>20.1</v>
      </c>
      <c r="M98" t="n">
        <v>1.82</v>
      </c>
    </row>
    <row r="99">
      <c r="A99" t="inlineStr">
        <is>
          <t>2026-08-17</t>
        </is>
      </c>
      <c r="B99" t="inlineStr">
        <is>
          <t>14:15</t>
        </is>
      </c>
      <c r="C99" t="inlineStr">
        <is>
          <t>SL</t>
        </is>
      </c>
      <c r="D99" t="n">
        <v>24332.45</v>
      </c>
      <c r="E99" t="inlineStr">
        <is>
          <t>Long</t>
        </is>
      </c>
      <c r="F99" t="n">
        <v>24339.25</v>
      </c>
      <c r="G99" t="n">
        <v>24323.25</v>
      </c>
      <c r="H99" t="n">
        <v>24371.25</v>
      </c>
      <c r="I99" t="n">
        <v>16</v>
      </c>
      <c r="J99" t="n">
        <v>24323.25</v>
      </c>
      <c r="K99" t="inlineStr">
        <is>
          <t>14:20</t>
        </is>
      </c>
      <c r="L99" t="n">
        <v>-18</v>
      </c>
      <c r="M99" t="n">
        <v>-1.12</v>
      </c>
    </row>
    <row r="100">
      <c r="A100" t="inlineStr">
        <is>
          <t>2026-08-18</t>
        </is>
      </c>
      <c r="B100" t="inlineStr">
        <is>
          <t>09:15</t>
        </is>
      </c>
      <c r="C100" t="inlineStr">
        <is>
          <t>PDL</t>
        </is>
      </c>
      <c r="D100" t="n">
        <v>24226.95</v>
      </c>
      <c r="E100" t="inlineStr">
        <is>
          <t>Long</t>
        </is>
      </c>
      <c r="F100" t="n">
        <v>24238.85</v>
      </c>
      <c r="G100" t="n">
        <v>24209.6</v>
      </c>
      <c r="H100" t="n">
        <v>24297.35</v>
      </c>
      <c r="I100" t="n">
        <v>29.25</v>
      </c>
      <c r="J100" t="n">
        <v>24209.6</v>
      </c>
      <c r="K100" t="inlineStr">
        <is>
          <t>10:15</t>
        </is>
      </c>
      <c r="L100" t="n">
        <v>-31.25</v>
      </c>
      <c r="M100" t="n">
        <v>-1.07</v>
      </c>
      <c r="N100" t="inlineStr">
        <is>
          <t>Yes</t>
        </is>
      </c>
    </row>
    <row r="101">
      <c r="A101" t="inlineStr">
        <is>
          <t>2026-08-18</t>
        </is>
      </c>
      <c r="B101" t="inlineStr">
        <is>
          <t>10:20</t>
        </is>
      </c>
      <c r="C101" t="inlineStr">
        <is>
          <t>ORL</t>
        </is>
      </c>
      <c r="D101" t="n">
        <v>24214.6</v>
      </c>
      <c r="E101" t="inlineStr">
        <is>
          <t>Long</t>
        </is>
      </c>
      <c r="F101" t="n">
        <v>24216.7</v>
      </c>
      <c r="G101" t="n">
        <v>24205.8</v>
      </c>
      <c r="H101" t="n">
        <v>24238.5</v>
      </c>
      <c r="I101" t="n">
        <v>10.9</v>
      </c>
      <c r="J101" t="n">
        <v>24205.8</v>
      </c>
      <c r="K101" t="inlineStr">
        <is>
          <t>10:45</t>
        </is>
      </c>
      <c r="L101" t="n">
        <v>-12.9</v>
      </c>
      <c r="M101" t="n">
        <v>-1.18</v>
      </c>
      <c r="N101" t="inlineStr">
        <is>
          <t>Yes</t>
        </is>
      </c>
    </row>
    <row r="102">
      <c r="A102" t="inlineStr">
        <is>
          <t>2026-08-18</t>
        </is>
      </c>
      <c r="B102" t="inlineStr">
        <is>
          <t>11:50</t>
        </is>
      </c>
      <c r="C102" t="inlineStr">
        <is>
          <t>SH</t>
        </is>
      </c>
      <c r="D102" t="n">
        <v>24211.5</v>
      </c>
      <c r="E102" t="inlineStr">
        <is>
          <t>Short</t>
        </is>
      </c>
      <c r="F102" t="n">
        <v>24199.2</v>
      </c>
      <c r="G102" t="n">
        <v>24219.4</v>
      </c>
      <c r="H102" t="n">
        <v>24158.8</v>
      </c>
      <c r="I102" t="n">
        <v>20.2</v>
      </c>
      <c r="J102" t="n">
        <v>24219.4</v>
      </c>
      <c r="K102" t="inlineStr">
        <is>
          <t>12:05</t>
        </is>
      </c>
      <c r="L102" t="n">
        <v>-22.2</v>
      </c>
      <c r="M102" t="n">
        <v>-1.1</v>
      </c>
      <c r="N102" t="inlineStr">
        <is>
          <t>Yes</t>
        </is>
      </c>
    </row>
    <row r="103">
      <c r="A103" t="inlineStr">
        <is>
          <t>2026-08-19</t>
        </is>
      </c>
      <c r="B103" t="inlineStr">
        <is>
          <t>12:30</t>
        </is>
      </c>
      <c r="C103" t="inlineStr">
        <is>
          <t>SL</t>
        </is>
      </c>
      <c r="D103" t="n">
        <v>24050.25</v>
      </c>
      <c r="E103" t="inlineStr">
        <is>
          <t>Long</t>
        </is>
      </c>
      <c r="F103" t="n">
        <v>24054.05</v>
      </c>
      <c r="G103" t="n">
        <v>24044.05</v>
      </c>
      <c r="H103" t="n">
        <v>24074.05</v>
      </c>
      <c r="I103" t="n">
        <v>10</v>
      </c>
      <c r="J103" t="n">
        <v>24044.05</v>
      </c>
      <c r="K103" t="inlineStr">
        <is>
          <t>13:15</t>
        </is>
      </c>
      <c r="L103" t="n">
        <v>-12</v>
      </c>
      <c r="M103" t="n">
        <v>-1.2</v>
      </c>
    </row>
    <row r="104">
      <c r="A104" t="inlineStr">
        <is>
          <t>2026-08-19</t>
        </is>
      </c>
      <c r="B104" t="inlineStr">
        <is>
          <t>14:10</t>
        </is>
      </c>
      <c r="C104" t="inlineStr">
        <is>
          <t>SH</t>
        </is>
      </c>
      <c r="D104" t="n">
        <v>24062.1</v>
      </c>
      <c r="E104" t="inlineStr">
        <is>
          <t>Short</t>
        </is>
      </c>
      <c r="F104" t="n">
        <v>24051.35</v>
      </c>
      <c r="G104" t="n">
        <v>24069.55</v>
      </c>
      <c r="H104" t="n">
        <v>24014.95</v>
      </c>
      <c r="I104" t="n">
        <v>18.2</v>
      </c>
      <c r="J104" t="n">
        <v>24069.55</v>
      </c>
      <c r="K104" t="inlineStr">
        <is>
          <t>14:35</t>
        </is>
      </c>
      <c r="L104" t="n">
        <v>-20.2</v>
      </c>
      <c r="M104" t="n">
        <v>-1.11</v>
      </c>
    </row>
    <row r="105">
      <c r="A105" t="inlineStr">
        <is>
          <t>2026-08-20</t>
        </is>
      </c>
      <c r="B105" t="inlineStr">
        <is>
          <t>10:15</t>
        </is>
      </c>
      <c r="C105" t="inlineStr">
        <is>
          <t>ORH</t>
        </is>
      </c>
      <c r="D105" t="n">
        <v>24225.2</v>
      </c>
      <c r="E105" t="inlineStr">
        <is>
          <t>Short</t>
        </is>
      </c>
      <c r="F105" t="n">
        <v>24219.6</v>
      </c>
      <c r="G105" t="n">
        <v>24231.7</v>
      </c>
      <c r="H105" t="n">
        <v>24195.4</v>
      </c>
      <c r="I105" t="n">
        <v>12.1</v>
      </c>
      <c r="J105" t="n">
        <v>24195.4</v>
      </c>
      <c r="K105" t="inlineStr">
        <is>
          <t>11:20</t>
        </is>
      </c>
      <c r="L105" t="n">
        <v>22.2</v>
      </c>
      <c r="M105" t="n">
        <v>1.83</v>
      </c>
    </row>
    <row r="106">
      <c r="A106" t="inlineStr">
        <is>
          <t>2026-08-20</t>
        </is>
      </c>
      <c r="B106" t="inlineStr">
        <is>
          <t>11:25</t>
        </is>
      </c>
      <c r="C106" t="inlineStr">
        <is>
          <t>SL</t>
        </is>
      </c>
      <c r="D106" t="n">
        <v>24195.95</v>
      </c>
      <c r="E106" t="inlineStr">
        <is>
          <t>Long</t>
        </is>
      </c>
      <c r="F106" t="n">
        <v>24201</v>
      </c>
      <c r="G106" t="n">
        <v>24189.8</v>
      </c>
      <c r="H106" t="n">
        <v>24223.4</v>
      </c>
      <c r="I106" t="n">
        <v>11.2</v>
      </c>
      <c r="J106" t="n">
        <v>24223.4</v>
      </c>
      <c r="K106" t="inlineStr">
        <is>
          <t>12:45</t>
        </is>
      </c>
      <c r="L106" t="n">
        <v>20.4</v>
      </c>
      <c r="M106" t="n">
        <v>1.82</v>
      </c>
    </row>
    <row r="107">
      <c r="A107" t="inlineStr">
        <is>
          <t>2026-08-20</t>
        </is>
      </c>
      <c r="B107" t="inlineStr">
        <is>
          <t>14:15</t>
        </is>
      </c>
      <c r="C107" t="inlineStr">
        <is>
          <t>SL</t>
        </is>
      </c>
      <c r="D107" t="n">
        <v>24227.25</v>
      </c>
      <c r="E107" t="inlineStr">
        <is>
          <t>Long</t>
        </is>
      </c>
      <c r="F107" t="n">
        <v>24238</v>
      </c>
      <c r="G107" t="n">
        <v>24218.3</v>
      </c>
      <c r="H107" t="n">
        <v>24277.4</v>
      </c>
      <c r="I107" t="n">
        <v>19.7</v>
      </c>
      <c r="J107" t="n">
        <v>24218.3</v>
      </c>
      <c r="K107" t="inlineStr">
        <is>
          <t>15:05</t>
        </is>
      </c>
      <c r="L107" t="n">
        <v>-21.7</v>
      </c>
      <c r="M107" t="n">
        <v>-1.1</v>
      </c>
    </row>
    <row r="108">
      <c r="A108" t="inlineStr">
        <is>
          <t>2026-08-21</t>
        </is>
      </c>
      <c r="B108" t="inlineStr">
        <is>
          <t>09:15</t>
        </is>
      </c>
      <c r="C108" t="inlineStr">
        <is>
          <t>PDH</t>
        </is>
      </c>
      <c r="D108" t="n">
        <v>24263.95</v>
      </c>
      <c r="E108" t="inlineStr">
        <is>
          <t>Short</t>
        </is>
      </c>
      <c r="F108" t="n">
        <v>24238.1</v>
      </c>
      <c r="G108" t="n">
        <v>24287</v>
      </c>
      <c r="H108" t="n">
        <v>24140.3</v>
      </c>
      <c r="I108" t="n">
        <v>48.9</v>
      </c>
      <c r="J108" t="n">
        <v>24234.75</v>
      </c>
      <c r="K108" t="inlineStr">
        <is>
          <t>15:10</t>
        </is>
      </c>
      <c r="L108" t="n">
        <v>1.35</v>
      </c>
      <c r="M108" t="n">
        <v>0.03</v>
      </c>
    </row>
    <row r="109">
      <c r="A109" t="inlineStr">
        <is>
          <t>2026-08-24</t>
        </is>
      </c>
      <c r="B109" t="inlineStr">
        <is>
          <t>10:35</t>
        </is>
      </c>
      <c r="C109" t="inlineStr">
        <is>
          <t>SH</t>
        </is>
      </c>
      <c r="D109" t="n">
        <v>24284.25</v>
      </c>
      <c r="E109" t="inlineStr">
        <is>
          <t>Short</t>
        </is>
      </c>
      <c r="F109" t="n">
        <v>24279.65</v>
      </c>
      <c r="G109" t="n">
        <v>24292.7</v>
      </c>
      <c r="H109" t="n">
        <v>24253.55</v>
      </c>
      <c r="I109" t="n">
        <v>13.05</v>
      </c>
      <c r="J109" t="n">
        <v>24253.55</v>
      </c>
      <c r="K109" t="inlineStr">
        <is>
          <t>10:55</t>
        </is>
      </c>
      <c r="L109" t="n">
        <v>24.1</v>
      </c>
      <c r="M109" t="n">
        <v>1.85</v>
      </c>
    </row>
    <row r="110">
      <c r="A110" t="inlineStr">
        <is>
          <t>2026-08-25</t>
        </is>
      </c>
      <c r="B110" t="inlineStr">
        <is>
          <t>09:15</t>
        </is>
      </c>
      <c r="C110" t="inlineStr">
        <is>
          <t>PDL</t>
        </is>
      </c>
      <c r="D110" t="n">
        <v>24144.45</v>
      </c>
      <c r="E110" t="inlineStr">
        <is>
          <t>Long</t>
        </is>
      </c>
      <c r="F110" t="n">
        <v>24184.05</v>
      </c>
      <c r="G110" t="n">
        <v>24124.15</v>
      </c>
      <c r="H110" t="n">
        <v>24303.85</v>
      </c>
      <c r="I110" t="n">
        <v>59.9</v>
      </c>
      <c r="J110" t="n">
        <v>24124.15</v>
      </c>
      <c r="K110" t="inlineStr">
        <is>
          <t>10:20</t>
        </is>
      </c>
      <c r="L110" t="n">
        <v>-61.9</v>
      </c>
      <c r="M110" t="n">
        <v>-1.03</v>
      </c>
      <c r="N110" t="inlineStr">
        <is>
          <t>Yes</t>
        </is>
      </c>
    </row>
    <row r="111">
      <c r="A111" t="inlineStr">
        <is>
          <t>2026-08-25</t>
        </is>
      </c>
      <c r="B111" t="inlineStr">
        <is>
          <t>13:00</t>
        </is>
      </c>
      <c r="C111" t="inlineStr">
        <is>
          <t>SL</t>
        </is>
      </c>
      <c r="D111" t="n">
        <v>24138.9</v>
      </c>
      <c r="E111" t="inlineStr">
        <is>
          <t>Long</t>
        </is>
      </c>
      <c r="F111" t="n">
        <v>24144.2</v>
      </c>
      <c r="G111" t="n">
        <v>24130.2</v>
      </c>
      <c r="H111" t="n">
        <v>24172.2</v>
      </c>
      <c r="I111" t="n">
        <v>14</v>
      </c>
      <c r="J111" t="n">
        <v>24130.2</v>
      </c>
      <c r="K111" t="inlineStr">
        <is>
          <t>13:10</t>
        </is>
      </c>
      <c r="L111" t="n">
        <v>-16</v>
      </c>
      <c r="M111" t="n">
        <v>-1.14</v>
      </c>
      <c r="N111" t="inlineStr">
        <is>
          <t>Yes</t>
        </is>
      </c>
    </row>
    <row r="112">
      <c r="A112" t="inlineStr">
        <is>
          <t>2026-08-25</t>
        </is>
      </c>
      <c r="B112" t="inlineStr">
        <is>
          <t>14:30</t>
        </is>
      </c>
      <c r="C112" t="inlineStr">
        <is>
          <t>ORH</t>
        </is>
      </c>
      <c r="D112" t="n">
        <v>24198.1</v>
      </c>
      <c r="E112" t="inlineStr">
        <is>
          <t>Short</t>
        </is>
      </c>
      <c r="F112" t="n">
        <v>24196.65</v>
      </c>
      <c r="G112" t="n">
        <v>24217.3</v>
      </c>
      <c r="H112" t="n">
        <v>24155.35</v>
      </c>
      <c r="I112" t="n">
        <v>20.65</v>
      </c>
      <c r="J112" t="n">
        <v>24217.3</v>
      </c>
      <c r="K112" t="inlineStr">
        <is>
          <t>14:45</t>
        </is>
      </c>
      <c r="L112" t="n">
        <v>-22.65</v>
      </c>
      <c r="M112" t="n">
        <v>-1.1</v>
      </c>
      <c r="N112" t="inlineStr">
        <is>
          <t>Yes</t>
        </is>
      </c>
    </row>
    <row r="113">
      <c r="A113" t="inlineStr">
        <is>
          <t>2026-08-26</t>
        </is>
      </c>
      <c r="B113" t="inlineStr">
        <is>
          <t>09:15</t>
        </is>
      </c>
      <c r="C113" t="inlineStr">
        <is>
          <t>PDH</t>
        </is>
      </c>
      <c r="D113" t="n">
        <v>24334.55</v>
      </c>
      <c r="E113" t="inlineStr">
        <is>
          <t>Short</t>
        </is>
      </c>
      <c r="F113" t="n">
        <v>24318.3</v>
      </c>
      <c r="G113" t="n">
        <v>24360.35</v>
      </c>
      <c r="H113" t="n">
        <v>24234.2</v>
      </c>
      <c r="I113" t="n">
        <v>42.05</v>
      </c>
      <c r="J113" t="n">
        <v>24360.35</v>
      </c>
      <c r="K113" t="inlineStr">
        <is>
          <t>09:25</t>
        </is>
      </c>
      <c r="L113" t="n">
        <v>-44.05</v>
      </c>
      <c r="M113" t="n">
        <v>-1.05</v>
      </c>
    </row>
    <row r="114">
      <c r="A114" t="inlineStr">
        <is>
          <t>2026-08-26</t>
        </is>
      </c>
      <c r="B114" t="inlineStr">
        <is>
          <t>11:15</t>
        </is>
      </c>
      <c r="C114" t="inlineStr">
        <is>
          <t>SH</t>
        </is>
      </c>
      <c r="D114" t="n">
        <v>24331.3</v>
      </c>
      <c r="E114" t="inlineStr">
        <is>
          <t>Short</t>
        </is>
      </c>
      <c r="F114" t="n">
        <v>24310.2</v>
      </c>
      <c r="G114" t="n">
        <v>24337.65</v>
      </c>
      <c r="H114" t="n">
        <v>24255.3</v>
      </c>
      <c r="I114" t="n">
        <v>27.45</v>
      </c>
      <c r="J114" t="n">
        <v>24255.3</v>
      </c>
      <c r="K114" t="inlineStr">
        <is>
          <t>13:15</t>
        </is>
      </c>
      <c r="L114" t="n">
        <v>52.9</v>
      </c>
      <c r="M114" t="n">
        <v>1.93</v>
      </c>
    </row>
    <row r="115">
      <c r="A115" t="inlineStr">
        <is>
          <t>2026-08-27</t>
        </is>
      </c>
      <c r="B115" t="inlineStr">
        <is>
          <t>09:30</t>
        </is>
      </c>
      <c r="C115" t="inlineStr">
        <is>
          <t>ORL</t>
        </is>
      </c>
      <c r="D115" t="n">
        <v>24198.4</v>
      </c>
      <c r="E115" t="inlineStr">
        <is>
          <t>Long</t>
        </is>
      </c>
      <c r="F115" t="n">
        <v>24210.85</v>
      </c>
      <c r="G115" t="n">
        <v>24183.8</v>
      </c>
      <c r="H115" t="n">
        <v>24264.95</v>
      </c>
      <c r="I115" t="n">
        <v>27.05</v>
      </c>
      <c r="J115" t="n">
        <v>24183.8</v>
      </c>
      <c r="K115" t="inlineStr">
        <is>
          <t>10:00</t>
        </is>
      </c>
      <c r="L115" t="n">
        <v>-29.05</v>
      </c>
      <c r="M115" t="n">
        <v>-1.07</v>
      </c>
    </row>
    <row r="116">
      <c r="A116" t="inlineStr">
        <is>
          <t>2026-08-27</t>
        </is>
      </c>
      <c r="B116" t="inlineStr">
        <is>
          <t>10:05</t>
        </is>
      </c>
      <c r="C116" t="inlineStr">
        <is>
          <t>SL</t>
        </is>
      </c>
      <c r="D116" t="n">
        <v>24188.8</v>
      </c>
      <c r="E116" t="inlineStr">
        <is>
          <t>Long</t>
        </is>
      </c>
      <c r="F116" t="n">
        <v>24195.8</v>
      </c>
      <c r="G116" t="n">
        <v>24178.35</v>
      </c>
      <c r="H116" t="n">
        <v>24230.7</v>
      </c>
      <c r="I116" t="n">
        <v>17.45</v>
      </c>
      <c r="J116" t="n">
        <v>24178.35</v>
      </c>
      <c r="K116" t="inlineStr">
        <is>
          <t>10:30</t>
        </is>
      </c>
      <c r="L116" t="n">
        <v>-19.45</v>
      </c>
      <c r="M116" t="n">
        <v>-1.11</v>
      </c>
    </row>
    <row r="117">
      <c r="A117" t="inlineStr">
        <is>
          <t>2026-08-27</t>
        </is>
      </c>
      <c r="B117" t="inlineStr">
        <is>
          <t>12:05</t>
        </is>
      </c>
      <c r="C117" t="inlineStr">
        <is>
          <t>SL</t>
        </is>
      </c>
      <c r="D117" t="n">
        <v>24137.65</v>
      </c>
      <c r="E117" t="inlineStr">
        <is>
          <t>Long</t>
        </is>
      </c>
      <c r="F117" t="n">
        <v>24142.1</v>
      </c>
      <c r="G117" t="n">
        <v>24128.8</v>
      </c>
      <c r="H117" t="n">
        <v>24168.7</v>
      </c>
      <c r="I117" t="n">
        <v>13.3</v>
      </c>
      <c r="J117" t="n">
        <v>24168.7</v>
      </c>
      <c r="K117" t="inlineStr">
        <is>
          <t>12:35</t>
        </is>
      </c>
      <c r="L117" t="n">
        <v>24.6</v>
      </c>
      <c r="M117" t="n">
        <v>1.85</v>
      </c>
    </row>
    <row r="118">
      <c r="A118" t="inlineStr">
        <is>
          <t>2026-08-28</t>
        </is>
      </c>
      <c r="B118" t="inlineStr">
        <is>
          <t>12:50</t>
        </is>
      </c>
      <c r="C118" t="inlineStr">
        <is>
          <t>SH</t>
        </is>
      </c>
      <c r="D118" t="n">
        <v>24109.65</v>
      </c>
      <c r="E118" t="inlineStr">
        <is>
          <t>Short</t>
        </is>
      </c>
      <c r="F118" t="n">
        <v>24105.3</v>
      </c>
      <c r="G118" t="n">
        <v>24115.95</v>
      </c>
      <c r="H118" t="n">
        <v>24084</v>
      </c>
      <c r="I118" t="n">
        <v>10.65</v>
      </c>
      <c r="J118" t="n">
        <v>24115.95</v>
      </c>
      <c r="K118" t="inlineStr">
        <is>
          <t>13:25</t>
        </is>
      </c>
      <c r="L118" t="n">
        <v>-12.65</v>
      </c>
      <c r="M118" t="n">
        <v>-1.19</v>
      </c>
    </row>
    <row r="119">
      <c r="A119" t="inlineStr">
        <is>
          <t>2026-08-28</t>
        </is>
      </c>
      <c r="B119" t="inlineStr">
        <is>
          <t>13:40</t>
        </is>
      </c>
      <c r="C119" t="inlineStr">
        <is>
          <t>SH</t>
        </is>
      </c>
      <c r="D119" t="n">
        <v>24116.45</v>
      </c>
      <c r="E119" t="inlineStr">
        <is>
          <t>Short</t>
        </is>
      </c>
      <c r="F119" t="n">
        <v>24113.1</v>
      </c>
      <c r="G119" t="n">
        <v>24124</v>
      </c>
      <c r="H119" t="n">
        <v>24091.3</v>
      </c>
      <c r="I119" t="n">
        <v>10.9</v>
      </c>
      <c r="J119" t="n">
        <v>24124</v>
      </c>
      <c r="K119" t="inlineStr">
        <is>
          <t>14:45</t>
        </is>
      </c>
      <c r="L119" t="n">
        <v>-12.9</v>
      </c>
      <c r="M119" t="n">
        <v>-1.18</v>
      </c>
    </row>
    <row r="120">
      <c r="A120" t="inlineStr">
        <is>
          <t>2026-08-31</t>
        </is>
      </c>
      <c r="B120" t="inlineStr">
        <is>
          <t>10:10</t>
        </is>
      </c>
      <c r="C120" t="inlineStr">
        <is>
          <t>SL</t>
        </is>
      </c>
      <c r="D120" t="n">
        <v>24013.25</v>
      </c>
      <c r="E120" t="inlineStr">
        <is>
          <t>Long</t>
        </is>
      </c>
      <c r="F120" t="n">
        <v>24017.85</v>
      </c>
      <c r="G120" t="n">
        <v>24005.5</v>
      </c>
      <c r="H120" t="n">
        <v>24042.55</v>
      </c>
      <c r="I120" t="n">
        <v>12.35</v>
      </c>
      <c r="J120" t="n">
        <v>24005.5</v>
      </c>
      <c r="K120" t="inlineStr">
        <is>
          <t>10:20</t>
        </is>
      </c>
      <c r="L120" t="n">
        <v>-14.35</v>
      </c>
      <c r="M120" t="n">
        <v>-1.16</v>
      </c>
    </row>
    <row r="121">
      <c r="A121" t="inlineStr">
        <is>
          <t>2026-09-01</t>
        </is>
      </c>
      <c r="B121" t="inlineStr">
        <is>
          <t>14:25</t>
        </is>
      </c>
      <c r="C121" t="inlineStr">
        <is>
          <t>SL</t>
        </is>
      </c>
      <c r="D121" t="n">
        <v>23953.9</v>
      </c>
      <c r="E121" t="inlineStr">
        <is>
          <t>Long</t>
        </is>
      </c>
      <c r="F121" t="n">
        <v>23981.6</v>
      </c>
      <c r="G121" t="n">
        <v>23947.6</v>
      </c>
      <c r="H121" t="n">
        <v>24049.6</v>
      </c>
      <c r="I121" t="n">
        <v>34</v>
      </c>
      <c r="J121" t="n">
        <v>23984.45</v>
      </c>
      <c r="K121" t="inlineStr">
        <is>
          <t>15:10</t>
        </is>
      </c>
      <c r="L121" t="n">
        <v>0.85</v>
      </c>
      <c r="M121" t="n">
        <v>0.03</v>
      </c>
      <c r="N121" t="inlineStr">
        <is>
          <t>Yes</t>
        </is>
      </c>
    </row>
    <row r="122">
      <c r="A122" t="inlineStr">
        <is>
          <t>2026-09-02</t>
        </is>
      </c>
      <c r="B122" t="inlineStr">
        <is>
          <t>13:00</t>
        </is>
      </c>
      <c r="C122" t="inlineStr">
        <is>
          <t>SH</t>
        </is>
      </c>
      <c r="D122" t="n">
        <v>23871.55</v>
      </c>
      <c r="E122" t="inlineStr">
        <is>
          <t>Short</t>
        </is>
      </c>
      <c r="F122" t="n">
        <v>23866.25</v>
      </c>
      <c r="G122" t="n">
        <v>23881.8</v>
      </c>
      <c r="H122" t="n">
        <v>23835.15</v>
      </c>
      <c r="I122" t="n">
        <v>15.55</v>
      </c>
      <c r="J122" t="n">
        <v>23881.8</v>
      </c>
      <c r="K122" t="inlineStr">
        <is>
          <t>13:25</t>
        </is>
      </c>
      <c r="L122" t="n">
        <v>-17.55</v>
      </c>
      <c r="M122" t="n">
        <v>-1.13</v>
      </c>
    </row>
    <row r="123">
      <c r="A123" t="inlineStr">
        <is>
          <t>2026-09-02</t>
        </is>
      </c>
      <c r="B123" t="inlineStr">
        <is>
          <t>13:50</t>
        </is>
      </c>
      <c r="C123" t="inlineStr">
        <is>
          <t>SL</t>
        </is>
      </c>
      <c r="D123" t="n">
        <v>23855.65</v>
      </c>
      <c r="E123" t="inlineStr">
        <is>
          <t>Long</t>
        </is>
      </c>
      <c r="F123" t="n">
        <v>23866.4</v>
      </c>
      <c r="G123" t="n">
        <v>23845.8</v>
      </c>
      <c r="H123" t="n">
        <v>23907.6</v>
      </c>
      <c r="I123" t="n">
        <v>20.6</v>
      </c>
      <c r="J123" t="n">
        <v>23907.6</v>
      </c>
      <c r="K123" t="inlineStr">
        <is>
          <t>14:30</t>
        </is>
      </c>
      <c r="L123" t="n">
        <v>39.2</v>
      </c>
      <c r="M123" t="n">
        <v>1.9</v>
      </c>
    </row>
    <row r="124">
      <c r="A124" t="inlineStr">
        <is>
          <t>2026-09-03</t>
        </is>
      </c>
      <c r="B124" t="inlineStr">
        <is>
          <t>10:40</t>
        </is>
      </c>
      <c r="C124" t="inlineStr">
        <is>
          <t>ORL</t>
        </is>
      </c>
      <c r="D124" t="n">
        <v>23955.4</v>
      </c>
      <c r="E124" t="inlineStr">
        <is>
          <t>Long</t>
        </is>
      </c>
      <c r="F124" t="n">
        <v>23965.8</v>
      </c>
      <c r="G124" t="n">
        <v>23947.6</v>
      </c>
      <c r="H124" t="n">
        <v>24002.2</v>
      </c>
      <c r="I124" t="n">
        <v>18.2</v>
      </c>
      <c r="J124" t="n">
        <v>23947.6</v>
      </c>
      <c r="K124" t="inlineStr">
        <is>
          <t>11:05</t>
        </is>
      </c>
      <c r="L124" t="n">
        <v>-20.2</v>
      </c>
      <c r="M124" t="n">
        <v>-1.11</v>
      </c>
    </row>
    <row r="125">
      <c r="A125" t="inlineStr">
        <is>
          <t>2026-09-03</t>
        </is>
      </c>
      <c r="B125" t="inlineStr">
        <is>
          <t>13:10</t>
        </is>
      </c>
      <c r="C125" t="inlineStr">
        <is>
          <t>SH</t>
        </is>
      </c>
      <c r="D125" t="n">
        <v>23930.35</v>
      </c>
      <c r="E125" t="inlineStr">
        <is>
          <t>Short</t>
        </is>
      </c>
      <c r="F125" t="n">
        <v>23925.95</v>
      </c>
      <c r="G125" t="n">
        <v>23941.15</v>
      </c>
      <c r="H125" t="n">
        <v>23895.55</v>
      </c>
      <c r="I125" t="n">
        <v>15.2</v>
      </c>
      <c r="J125" t="n">
        <v>23895.55</v>
      </c>
      <c r="K125" t="inlineStr">
        <is>
          <t>13:45</t>
        </is>
      </c>
      <c r="L125" t="n">
        <v>28.4</v>
      </c>
      <c r="M125" t="n">
        <v>1.87</v>
      </c>
    </row>
    <row r="126">
      <c r="A126" t="inlineStr">
        <is>
          <t>2026-09-03</t>
        </is>
      </c>
      <c r="B126" t="inlineStr">
        <is>
          <t>13:50</t>
        </is>
      </c>
      <c r="C126" t="inlineStr">
        <is>
          <t>SL</t>
        </is>
      </c>
      <c r="D126" t="n">
        <v>23903.5</v>
      </c>
      <c r="E126" t="inlineStr">
        <is>
          <t>Long</t>
        </is>
      </c>
      <c r="F126" t="n">
        <v>23906.05</v>
      </c>
      <c r="G126" t="n">
        <v>23894.55</v>
      </c>
      <c r="H126" t="n">
        <v>23929.05</v>
      </c>
      <c r="I126" t="n">
        <v>11.5</v>
      </c>
      <c r="J126" t="n">
        <v>23929.05</v>
      </c>
      <c r="K126" t="inlineStr">
        <is>
          <t>14:25</t>
        </is>
      </c>
      <c r="L126" t="n">
        <v>21</v>
      </c>
      <c r="M126" t="n">
        <v>1.83</v>
      </c>
    </row>
    <row r="127">
      <c r="A127" t="inlineStr">
        <is>
          <t>2026-09-04</t>
        </is>
      </c>
      <c r="B127" t="inlineStr">
        <is>
          <t>09:30</t>
        </is>
      </c>
      <c r="C127" t="inlineStr">
        <is>
          <t>ORL</t>
        </is>
      </c>
      <c r="D127" t="n">
        <v>23900.2</v>
      </c>
      <c r="E127" t="inlineStr">
        <is>
          <t>Long</t>
        </is>
      </c>
      <c r="F127" t="n">
        <v>23907.2</v>
      </c>
      <c r="G127" t="n">
        <v>23893.35</v>
      </c>
      <c r="H127" t="n">
        <v>23934.9</v>
      </c>
      <c r="I127" t="n">
        <v>13.85</v>
      </c>
      <c r="J127" t="n">
        <v>23934.9</v>
      </c>
      <c r="K127" t="inlineStr">
        <is>
          <t>09:50</t>
        </is>
      </c>
      <c r="L127" t="n">
        <v>25.7</v>
      </c>
      <c r="M127" t="n">
        <v>1.86</v>
      </c>
    </row>
    <row r="128">
      <c r="A128" t="inlineStr">
        <is>
          <t>2026-09-04</t>
        </is>
      </c>
      <c r="B128" t="inlineStr">
        <is>
          <t>12:10</t>
        </is>
      </c>
      <c r="C128" t="inlineStr">
        <is>
          <t>SL</t>
        </is>
      </c>
      <c r="D128" t="n">
        <v>23951.8</v>
      </c>
      <c r="E128" t="inlineStr">
        <is>
          <t>Long</t>
        </is>
      </c>
      <c r="F128" t="n">
        <v>23952.85</v>
      </c>
      <c r="G128" t="n">
        <v>23941.8</v>
      </c>
      <c r="H128" t="n">
        <v>23974.95</v>
      </c>
      <c r="I128" t="n">
        <v>11.05</v>
      </c>
      <c r="J128" t="n">
        <v>23941.8</v>
      </c>
      <c r="K128" t="inlineStr">
        <is>
          <t>12:20</t>
        </is>
      </c>
      <c r="L128" t="n">
        <v>-13.05</v>
      </c>
      <c r="M128" t="n">
        <v>-1.18</v>
      </c>
    </row>
    <row r="129">
      <c r="A129" t="inlineStr">
        <is>
          <t>2026-09-04</t>
        </is>
      </c>
      <c r="B129" t="inlineStr">
        <is>
          <t>12:45</t>
        </is>
      </c>
      <c r="C129" t="inlineStr">
        <is>
          <t>SL</t>
        </is>
      </c>
      <c r="D129" t="n">
        <v>23936.05</v>
      </c>
      <c r="E129" t="inlineStr">
        <is>
          <t>Long</t>
        </is>
      </c>
      <c r="F129" t="n">
        <v>23940.4</v>
      </c>
      <c r="G129" t="n">
        <v>23929.8</v>
      </c>
      <c r="H129" t="n">
        <v>23961.6</v>
      </c>
      <c r="I129" t="n">
        <v>10.6</v>
      </c>
      <c r="J129" t="n">
        <v>23929.8</v>
      </c>
      <c r="K129" t="inlineStr">
        <is>
          <t>12:55</t>
        </is>
      </c>
      <c r="L129" t="n">
        <v>-12.6</v>
      </c>
      <c r="M129" t="n">
        <v>-1.19</v>
      </c>
    </row>
    <row r="130">
      <c r="A130" t="inlineStr">
        <is>
          <t>2026-09-07</t>
        </is>
      </c>
      <c r="B130" t="inlineStr">
        <is>
          <t>11:40</t>
        </is>
      </c>
      <c r="C130" t="inlineStr">
        <is>
          <t>SL</t>
        </is>
      </c>
      <c r="D130" t="n">
        <v>23762.95</v>
      </c>
      <c r="E130" t="inlineStr">
        <is>
          <t>Long</t>
        </is>
      </c>
      <c r="F130" t="n">
        <v>23771.9</v>
      </c>
      <c r="G130" t="n">
        <v>23752.8</v>
      </c>
      <c r="H130" t="n">
        <v>23810.1</v>
      </c>
      <c r="I130" t="n">
        <v>19.1</v>
      </c>
      <c r="J130" t="n">
        <v>23752.8</v>
      </c>
      <c r="K130" t="inlineStr">
        <is>
          <t>12:35</t>
        </is>
      </c>
      <c r="L130" t="n">
        <v>-21.1</v>
      </c>
      <c r="M130" t="n">
        <v>-1.1</v>
      </c>
    </row>
    <row r="131">
      <c r="A131" t="inlineStr">
        <is>
          <t>2026-09-08</t>
        </is>
      </c>
      <c r="B131" t="inlineStr">
        <is>
          <t>11:50</t>
        </is>
      </c>
      <c r="C131" t="inlineStr">
        <is>
          <t>SL</t>
        </is>
      </c>
      <c r="D131" t="n">
        <v>23657.2</v>
      </c>
      <c r="E131" t="inlineStr">
        <is>
          <t>Long</t>
        </is>
      </c>
      <c r="F131" t="n">
        <v>23668.75</v>
      </c>
      <c r="G131" t="n">
        <v>23648.2</v>
      </c>
      <c r="H131" t="n">
        <v>23709.85</v>
      </c>
      <c r="I131" t="n">
        <v>20.55</v>
      </c>
      <c r="J131" t="n">
        <v>23648.2</v>
      </c>
      <c r="K131" t="inlineStr">
        <is>
          <t>12:05</t>
        </is>
      </c>
      <c r="L131" t="n">
        <v>-22.55</v>
      </c>
      <c r="M131" t="n">
        <v>-1.1</v>
      </c>
      <c r="N131" t="inlineStr">
        <is>
          <t>Yes</t>
        </is>
      </c>
    </row>
    <row r="132">
      <c r="A132" t="inlineStr">
        <is>
          <t>2026-09-08</t>
        </is>
      </c>
      <c r="B132" t="inlineStr">
        <is>
          <t>14:05</t>
        </is>
      </c>
      <c r="C132" t="inlineStr">
        <is>
          <t>SH</t>
        </is>
      </c>
      <c r="D132" t="n">
        <v>23653.95</v>
      </c>
      <c r="E132" t="inlineStr">
        <is>
          <t>Short</t>
        </is>
      </c>
      <c r="F132" t="n">
        <v>23648.15</v>
      </c>
      <c r="G132" t="n">
        <v>23661.65</v>
      </c>
      <c r="H132" t="n">
        <v>23621.15</v>
      </c>
      <c r="I132" t="n">
        <v>13.5</v>
      </c>
      <c r="J132" t="n">
        <v>23641.1</v>
      </c>
      <c r="K132" t="inlineStr">
        <is>
          <t>15:10</t>
        </is>
      </c>
      <c r="L132" t="n">
        <v>5.05</v>
      </c>
      <c r="M132" t="n">
        <v>0.37</v>
      </c>
      <c r="N132" t="inlineStr">
        <is>
          <t>Yes</t>
        </is>
      </c>
    </row>
    <row r="133">
      <c r="A133" t="inlineStr">
        <is>
          <t>2026-09-09</t>
        </is>
      </c>
      <c r="B133" t="inlineStr">
        <is>
          <t>09:40</t>
        </is>
      </c>
      <c r="C133" t="inlineStr">
        <is>
          <t>ORH</t>
        </is>
      </c>
      <c r="D133" t="n">
        <v>23531.8</v>
      </c>
      <c r="E133" t="inlineStr">
        <is>
          <t>Short</t>
        </is>
      </c>
      <c r="F133" t="n">
        <v>23525.45</v>
      </c>
      <c r="G133" t="n">
        <v>23538.45</v>
      </c>
      <c r="H133" t="n">
        <v>23499.45</v>
      </c>
      <c r="I133" t="n">
        <v>13</v>
      </c>
      <c r="J133" t="n">
        <v>23499.45</v>
      </c>
      <c r="K133" t="inlineStr">
        <is>
          <t>09:45</t>
        </is>
      </c>
      <c r="L133" t="n">
        <v>24</v>
      </c>
      <c r="M133" t="n">
        <v>1.85</v>
      </c>
    </row>
    <row r="134">
      <c r="A134" t="inlineStr">
        <is>
          <t>2026-09-09</t>
        </is>
      </c>
      <c r="B134" t="inlineStr">
        <is>
          <t>10:00</t>
        </is>
      </c>
      <c r="C134" t="inlineStr">
        <is>
          <t>ORL</t>
        </is>
      </c>
      <c r="D134" t="n">
        <v>23478.95</v>
      </c>
      <c r="E134" t="inlineStr">
        <is>
          <t>Long</t>
        </is>
      </c>
      <c r="F134" t="n">
        <v>23480</v>
      </c>
      <c r="G134" t="n">
        <v>23463.8</v>
      </c>
      <c r="H134" t="n">
        <v>23512.4</v>
      </c>
      <c r="I134" t="n">
        <v>16.2</v>
      </c>
      <c r="J134" t="n">
        <v>23512.4</v>
      </c>
      <c r="K134" t="inlineStr">
        <is>
          <t>10:15</t>
        </is>
      </c>
      <c r="L134" t="n">
        <v>30.4</v>
      </c>
      <c r="M134" t="n">
        <v>1.88</v>
      </c>
    </row>
    <row r="135">
      <c r="A135" t="inlineStr">
        <is>
          <t>2026-09-09</t>
        </is>
      </c>
      <c r="B135" t="inlineStr">
        <is>
          <t>12:30</t>
        </is>
      </c>
      <c r="C135" t="inlineStr">
        <is>
          <t>SH</t>
        </is>
      </c>
      <c r="D135" t="n">
        <v>23549</v>
      </c>
      <c r="E135" t="inlineStr">
        <is>
          <t>Short</t>
        </is>
      </c>
      <c r="F135" t="n">
        <v>23547.7</v>
      </c>
      <c r="G135" t="n">
        <v>23559.45</v>
      </c>
      <c r="H135" t="n">
        <v>23524.2</v>
      </c>
      <c r="I135" t="n">
        <v>11.75</v>
      </c>
      <c r="J135" t="n">
        <v>23559.45</v>
      </c>
      <c r="K135" t="inlineStr">
        <is>
          <t>12:35</t>
        </is>
      </c>
      <c r="L135" t="n">
        <v>-13.75</v>
      </c>
      <c r="M135" t="n">
        <v>-1.17</v>
      </c>
    </row>
    <row r="136">
      <c r="A136" t="inlineStr">
        <is>
          <t>2026-09-10</t>
        </is>
      </c>
      <c r="B136" t="inlineStr">
        <is>
          <t>09:30</t>
        </is>
      </c>
      <c r="C136" t="inlineStr">
        <is>
          <t>ORL</t>
        </is>
      </c>
      <c r="D136" t="n">
        <v>23414.4</v>
      </c>
      <c r="E136" t="inlineStr">
        <is>
          <t>Long</t>
        </is>
      </c>
      <c r="F136" t="n">
        <v>23432.45</v>
      </c>
      <c r="G136" t="n">
        <v>23405.15</v>
      </c>
      <c r="H136" t="n">
        <v>23487.05</v>
      </c>
      <c r="I136" t="n">
        <v>27.3</v>
      </c>
      <c r="J136" t="n">
        <v>23405.15</v>
      </c>
      <c r="K136" t="inlineStr">
        <is>
          <t>10:05</t>
        </is>
      </c>
      <c r="L136" t="n">
        <v>-29.3</v>
      </c>
      <c r="M136" t="n">
        <v>-1.07</v>
      </c>
    </row>
    <row r="137">
      <c r="A137" t="inlineStr">
        <is>
          <t>2026-09-10</t>
        </is>
      </c>
      <c r="B137" t="inlineStr">
        <is>
          <t>10:10</t>
        </is>
      </c>
      <c r="C137" t="inlineStr">
        <is>
          <t>SL</t>
        </is>
      </c>
      <c r="D137" t="n">
        <v>23410.15</v>
      </c>
      <c r="E137" t="inlineStr">
        <is>
          <t>Long</t>
        </is>
      </c>
      <c r="F137" t="n">
        <v>23411.4</v>
      </c>
      <c r="G137" t="n">
        <v>23399.4</v>
      </c>
      <c r="H137" t="n">
        <v>23435.4</v>
      </c>
      <c r="I137" t="n">
        <v>12</v>
      </c>
      <c r="J137" t="n">
        <v>23435.4</v>
      </c>
      <c r="K137" t="inlineStr">
        <is>
          <t>10:15</t>
        </is>
      </c>
      <c r="L137" t="n">
        <v>22</v>
      </c>
      <c r="M137" t="n">
        <v>1.83</v>
      </c>
    </row>
    <row r="138">
      <c r="A138" t="inlineStr">
        <is>
          <t>2026-09-10</t>
        </is>
      </c>
      <c r="B138" t="inlineStr">
        <is>
          <t>10:55</t>
        </is>
      </c>
      <c r="C138" t="inlineStr">
        <is>
          <t>SL</t>
        </is>
      </c>
      <c r="D138" t="n">
        <v>23404.4</v>
      </c>
      <c r="E138" t="inlineStr">
        <is>
          <t>Long</t>
        </is>
      </c>
      <c r="F138" t="n">
        <v>23409.75</v>
      </c>
      <c r="G138" t="n">
        <v>23398.2</v>
      </c>
      <c r="H138" t="n">
        <v>23432.85</v>
      </c>
      <c r="I138" t="n">
        <v>11.55</v>
      </c>
      <c r="J138" t="n">
        <v>23432.85</v>
      </c>
      <c r="K138" t="inlineStr">
        <is>
          <t>11:10</t>
        </is>
      </c>
      <c r="L138" t="n">
        <v>21.1</v>
      </c>
      <c r="M138" t="n">
        <v>1.83</v>
      </c>
    </row>
    <row r="139">
      <c r="A139" t="inlineStr">
        <is>
          <t>2026-09-11</t>
        </is>
      </c>
      <c r="B139" t="inlineStr">
        <is>
          <t>10:45</t>
        </is>
      </c>
      <c r="C139" t="inlineStr">
        <is>
          <t>SH</t>
        </is>
      </c>
      <c r="D139" t="n">
        <v>23311.65</v>
      </c>
      <c r="E139" t="inlineStr">
        <is>
          <t>Short</t>
        </is>
      </c>
      <c r="F139" t="n">
        <v>23296.65</v>
      </c>
      <c r="G139" t="n">
        <v>23318.25</v>
      </c>
      <c r="H139" t="n">
        <v>23253.45</v>
      </c>
      <c r="I139" t="n">
        <v>21.6</v>
      </c>
      <c r="J139" t="n">
        <v>23318.25</v>
      </c>
      <c r="K139" t="inlineStr">
        <is>
          <t>11:10</t>
        </is>
      </c>
      <c r="L139" t="n">
        <v>-23.6</v>
      </c>
      <c r="M139" t="n">
        <v>-1.09</v>
      </c>
    </row>
    <row r="140">
      <c r="A140" t="inlineStr">
        <is>
          <t>2026-09-11</t>
        </is>
      </c>
      <c r="B140" t="inlineStr">
        <is>
          <t>12:40</t>
        </is>
      </c>
      <c r="C140" t="inlineStr">
        <is>
          <t>SH</t>
        </is>
      </c>
      <c r="D140" t="n">
        <v>23354.7</v>
      </c>
      <c r="E140" t="inlineStr">
        <is>
          <t>Short</t>
        </is>
      </c>
      <c r="F140" t="n">
        <v>23349.5</v>
      </c>
      <c r="G140" t="n">
        <v>23365.75</v>
      </c>
      <c r="H140" t="n">
        <v>23317</v>
      </c>
      <c r="I140" t="n">
        <v>16.25</v>
      </c>
      <c r="J140" t="n">
        <v>23317</v>
      </c>
      <c r="K140" t="inlineStr">
        <is>
          <t>13:40</t>
        </is>
      </c>
      <c r="L140" t="n">
        <v>30.5</v>
      </c>
      <c r="M140" t="n">
        <v>1.88</v>
      </c>
    </row>
    <row r="141">
      <c r="A141" t="inlineStr">
        <is>
          <t>2026-09-11</t>
        </is>
      </c>
      <c r="B141" t="inlineStr">
        <is>
          <t>13:45</t>
        </is>
      </c>
      <c r="C141" t="inlineStr">
        <is>
          <t>SL</t>
        </is>
      </c>
      <c r="D141" t="n">
        <v>23323.75</v>
      </c>
      <c r="E141" t="inlineStr">
        <is>
          <t>Long</t>
        </is>
      </c>
      <c r="F141" t="n">
        <v>23338.85</v>
      </c>
      <c r="G141" t="n">
        <v>23315.3</v>
      </c>
      <c r="H141" t="n">
        <v>23385.95</v>
      </c>
      <c r="I141" t="n">
        <v>23.55</v>
      </c>
      <c r="J141" t="n">
        <v>23385.95</v>
      </c>
      <c r="K141" t="inlineStr">
        <is>
          <t>13:55</t>
        </is>
      </c>
      <c r="L141" t="n">
        <v>45.1</v>
      </c>
      <c r="M141" t="n">
        <v>1.92</v>
      </c>
    </row>
    <row r="142">
      <c r="A142" t="inlineStr">
        <is>
          <t>2026-09-15</t>
        </is>
      </c>
      <c r="B142" t="inlineStr">
        <is>
          <t>09:30</t>
        </is>
      </c>
      <c r="C142" t="inlineStr">
        <is>
          <t>ORL</t>
        </is>
      </c>
      <c r="D142" t="n">
        <v>23452.1</v>
      </c>
      <c r="E142" t="inlineStr">
        <is>
          <t>Long</t>
        </is>
      </c>
      <c r="F142" t="n">
        <v>23455.55</v>
      </c>
      <c r="G142" t="n">
        <v>23441.6</v>
      </c>
      <c r="H142" t="n">
        <v>23483.45</v>
      </c>
      <c r="I142" t="n">
        <v>13.95</v>
      </c>
      <c r="J142" t="n">
        <v>23441.6</v>
      </c>
      <c r="K142" t="inlineStr">
        <is>
          <t>09:35</t>
        </is>
      </c>
      <c r="L142" t="n">
        <v>-15.95</v>
      </c>
      <c r="M142" t="n">
        <v>-1.14</v>
      </c>
      <c r="N142" t="inlineStr">
        <is>
          <t>Yes</t>
        </is>
      </c>
    </row>
    <row r="143">
      <c r="A143" t="inlineStr">
        <is>
          <t>2026-09-15</t>
        </is>
      </c>
      <c r="B143" t="inlineStr">
        <is>
          <t>11:10</t>
        </is>
      </c>
      <c r="C143" t="inlineStr">
        <is>
          <t>SL</t>
        </is>
      </c>
      <c r="D143" t="n">
        <v>23327.45</v>
      </c>
      <c r="E143" t="inlineStr">
        <is>
          <t>Long</t>
        </is>
      </c>
      <c r="F143" t="n">
        <v>23345.4</v>
      </c>
      <c r="G143" t="n">
        <v>23318.8</v>
      </c>
      <c r="H143" t="n">
        <v>23398.6</v>
      </c>
      <c r="I143" t="n">
        <v>26.6</v>
      </c>
      <c r="J143" t="n">
        <v>23318.8</v>
      </c>
      <c r="K143" t="inlineStr">
        <is>
          <t>11:15</t>
        </is>
      </c>
      <c r="L143" t="n">
        <v>-28.6</v>
      </c>
      <c r="M143" t="n">
        <v>-1.08</v>
      </c>
      <c r="N143" t="inlineStr">
        <is>
          <t>Yes</t>
        </is>
      </c>
    </row>
    <row r="144">
      <c r="A144" t="inlineStr">
        <is>
          <t>2026-09-15</t>
        </is>
      </c>
      <c r="B144" t="inlineStr">
        <is>
          <t>12:00</t>
        </is>
      </c>
      <c r="C144" t="inlineStr">
        <is>
          <t>SH</t>
        </is>
      </c>
      <c r="D144" t="n">
        <v>23348.5</v>
      </c>
      <c r="E144" t="inlineStr">
        <is>
          <t>Short</t>
        </is>
      </c>
      <c r="F144" t="n">
        <v>23345.3</v>
      </c>
      <c r="G144" t="n">
        <v>23356.65</v>
      </c>
      <c r="H144" t="n">
        <v>23322.6</v>
      </c>
      <c r="I144" t="n">
        <v>11.35</v>
      </c>
      <c r="J144" t="n">
        <v>23322.6</v>
      </c>
      <c r="K144" t="inlineStr">
        <is>
          <t>12:30</t>
        </is>
      </c>
      <c r="L144" t="n">
        <v>20.7</v>
      </c>
      <c r="M144" t="n">
        <v>1.82</v>
      </c>
      <c r="N144" t="inlineStr">
        <is>
          <t>Yes</t>
        </is>
      </c>
    </row>
    <row r="145">
      <c r="A145" t="inlineStr">
        <is>
          <t>2026-09-16</t>
        </is>
      </c>
      <c r="B145" t="inlineStr">
        <is>
          <t>09:30</t>
        </is>
      </c>
      <c r="C145" t="inlineStr">
        <is>
          <t>ORL</t>
        </is>
      </c>
      <c r="D145" t="n">
        <v>23188.3</v>
      </c>
      <c r="E145" t="inlineStr">
        <is>
          <t>Long</t>
        </is>
      </c>
      <c r="F145" t="n">
        <v>23209.4</v>
      </c>
      <c r="G145" t="n">
        <v>23170.9</v>
      </c>
      <c r="H145" t="n">
        <v>23286.4</v>
      </c>
      <c r="I145" t="n">
        <v>38.5</v>
      </c>
      <c r="J145" t="n">
        <v>23170.9</v>
      </c>
      <c r="K145" t="inlineStr">
        <is>
          <t>09:35</t>
        </is>
      </c>
      <c r="L145" t="n">
        <v>-40.5</v>
      </c>
      <c r="M145" t="n">
        <v>-1.05</v>
      </c>
    </row>
    <row r="146">
      <c r="A146" t="inlineStr">
        <is>
          <t>2026-09-16</t>
        </is>
      </c>
      <c r="B146" t="inlineStr">
        <is>
          <t>09:45</t>
        </is>
      </c>
      <c r="C146" t="inlineStr">
        <is>
          <t>PDL</t>
        </is>
      </c>
      <c r="D146" t="n">
        <v>23118.6</v>
      </c>
      <c r="E146" t="inlineStr">
        <is>
          <t>Long</t>
        </is>
      </c>
      <c r="F146" t="n">
        <v>23152.2</v>
      </c>
      <c r="G146" t="n">
        <v>23111.35</v>
      </c>
      <c r="H146" t="n">
        <v>23233.9</v>
      </c>
      <c r="I146" t="n">
        <v>40.85</v>
      </c>
      <c r="J146" t="n">
        <v>23233.9</v>
      </c>
      <c r="K146" t="inlineStr">
        <is>
          <t>09:55</t>
        </is>
      </c>
      <c r="L146" t="n">
        <v>79.7</v>
      </c>
      <c r="M146" t="n">
        <v>1.95</v>
      </c>
    </row>
    <row r="147">
      <c r="A147" t="inlineStr">
        <is>
          <t>2026-09-16</t>
        </is>
      </c>
      <c r="B147" t="inlineStr">
        <is>
          <t>10:25</t>
        </is>
      </c>
      <c r="C147" t="inlineStr">
        <is>
          <t>SH</t>
        </is>
      </c>
      <c r="D147" t="n">
        <v>23235.75</v>
      </c>
      <c r="E147" t="inlineStr">
        <is>
          <t>Short</t>
        </is>
      </c>
      <c r="F147" t="n">
        <v>23229.8</v>
      </c>
      <c r="G147" t="n">
        <v>23244.45</v>
      </c>
      <c r="H147" t="n">
        <v>23200.5</v>
      </c>
      <c r="I147" t="n">
        <v>14.65</v>
      </c>
      <c r="J147" t="n">
        <v>23244.45</v>
      </c>
      <c r="K147" t="inlineStr">
        <is>
          <t>10:30</t>
        </is>
      </c>
      <c r="L147" t="n">
        <v>-16.65</v>
      </c>
      <c r="M147" t="n">
        <v>-1.14</v>
      </c>
    </row>
    <row r="148">
      <c r="A148" t="inlineStr">
        <is>
          <t>2026-09-17</t>
        </is>
      </c>
      <c r="B148" t="inlineStr">
        <is>
          <t>09:30</t>
        </is>
      </c>
      <c r="C148" t="inlineStr">
        <is>
          <t>PDH</t>
        </is>
      </c>
      <c r="D148" t="n">
        <v>23284.75</v>
      </c>
      <c r="E148" t="inlineStr">
        <is>
          <t>Short</t>
        </is>
      </c>
      <c r="F148" t="n">
        <v>23284.45</v>
      </c>
      <c r="G148" t="n">
        <v>23294.45</v>
      </c>
      <c r="H148" t="n">
        <v>23264.45</v>
      </c>
      <c r="I148" t="n">
        <v>10</v>
      </c>
      <c r="J148" t="n">
        <v>23294.45</v>
      </c>
      <c r="K148" t="inlineStr">
        <is>
          <t>09:35</t>
        </is>
      </c>
      <c r="L148" t="n">
        <v>-12</v>
      </c>
      <c r="M148" t="n">
        <v>-1.2</v>
      </c>
    </row>
    <row r="149">
      <c r="A149" t="inlineStr">
        <is>
          <t>2026-09-18</t>
        </is>
      </c>
      <c r="B149" t="inlineStr">
        <is>
          <t>11:05</t>
        </is>
      </c>
      <c r="C149" t="inlineStr">
        <is>
          <t>SL</t>
        </is>
      </c>
      <c r="D149" t="n">
        <v>23294</v>
      </c>
      <c r="E149" t="inlineStr">
        <is>
          <t>Long</t>
        </is>
      </c>
      <c r="F149" t="n">
        <v>23302.6</v>
      </c>
      <c r="G149" t="n">
        <v>23284.75</v>
      </c>
      <c r="H149" t="n">
        <v>23338.3</v>
      </c>
      <c r="I149" t="n">
        <v>17.85</v>
      </c>
      <c r="J149" t="n">
        <v>23338.3</v>
      </c>
      <c r="K149" t="inlineStr">
        <is>
          <t>12:40</t>
        </is>
      </c>
      <c r="L149" t="n">
        <v>33.7</v>
      </c>
      <c r="M149" t="n">
        <v>1.89</v>
      </c>
    </row>
    <row r="150">
      <c r="A150" t="inlineStr">
        <is>
          <t>2026-09-18</t>
        </is>
      </c>
      <c r="B150" t="inlineStr">
        <is>
          <t>13:45</t>
        </is>
      </c>
      <c r="C150" t="inlineStr">
        <is>
          <t>SL</t>
        </is>
      </c>
      <c r="D150" t="n">
        <v>23307.45</v>
      </c>
      <c r="E150" t="inlineStr">
        <is>
          <t>Long</t>
        </is>
      </c>
      <c r="F150" t="n">
        <v>23313.9</v>
      </c>
      <c r="G150" t="n">
        <v>23299.7</v>
      </c>
      <c r="H150" t="n">
        <v>23342.3</v>
      </c>
      <c r="I150" t="n">
        <v>14.2</v>
      </c>
      <c r="J150" t="n">
        <v>23342.3</v>
      </c>
      <c r="K150" t="inlineStr">
        <is>
          <t>14:05</t>
        </is>
      </c>
      <c r="L150" t="n">
        <v>26.4</v>
      </c>
      <c r="M150" t="n">
        <v>1.86</v>
      </c>
    </row>
    <row r="151">
      <c r="A151" t="inlineStr">
        <is>
          <t>2026-09-18</t>
        </is>
      </c>
      <c r="B151" t="inlineStr">
        <is>
          <t>14:20</t>
        </is>
      </c>
      <c r="C151" t="inlineStr">
        <is>
          <t>ORH</t>
        </is>
      </c>
      <c r="D151" t="n">
        <v>23359.35</v>
      </c>
      <c r="E151" t="inlineStr">
        <is>
          <t>Short</t>
        </is>
      </c>
      <c r="F151" t="n">
        <v>23353.65</v>
      </c>
      <c r="G151" t="n">
        <v>23366.95</v>
      </c>
      <c r="H151" t="n">
        <v>23327.05</v>
      </c>
      <c r="I151" t="n">
        <v>13.3</v>
      </c>
      <c r="J151" t="n">
        <v>23366.95</v>
      </c>
      <c r="K151" t="inlineStr">
        <is>
          <t>14:30</t>
        </is>
      </c>
      <c r="L151" t="n">
        <v>-15.3</v>
      </c>
      <c r="M151" t="n">
        <v>-1.15</v>
      </c>
    </row>
    <row r="152">
      <c r="A152" t="inlineStr">
        <is>
          <t>2026-09-21</t>
        </is>
      </c>
      <c r="B152" t="inlineStr">
        <is>
          <t>09:15</t>
        </is>
      </c>
      <c r="C152" t="inlineStr">
        <is>
          <t>PDH</t>
        </is>
      </c>
      <c r="D152" t="n">
        <v>23389.15</v>
      </c>
      <c r="E152" t="inlineStr">
        <is>
          <t>Short</t>
        </is>
      </c>
      <c r="F152" t="n">
        <v>23385.85</v>
      </c>
      <c r="G152" t="n">
        <v>23401.35</v>
      </c>
      <c r="H152" t="n">
        <v>23354.85</v>
      </c>
      <c r="I152" t="n">
        <v>15.5</v>
      </c>
      <c r="J152" t="n">
        <v>23401.35</v>
      </c>
      <c r="K152" t="inlineStr">
        <is>
          <t>09:25</t>
        </is>
      </c>
      <c r="L152" t="n">
        <v>-17.5</v>
      </c>
      <c r="M152" t="n">
        <v>-1.13</v>
      </c>
    </row>
    <row r="153">
      <c r="A153" t="inlineStr">
        <is>
          <t>2026-09-21</t>
        </is>
      </c>
      <c r="B153" t="inlineStr">
        <is>
          <t>09:30</t>
        </is>
      </c>
      <c r="C153" t="inlineStr">
        <is>
          <t>ORH</t>
        </is>
      </c>
      <c r="D153" t="n">
        <v>23402.95</v>
      </c>
      <c r="E153" t="inlineStr">
        <is>
          <t>Short</t>
        </is>
      </c>
      <c r="F153" t="n">
        <v>23395.9</v>
      </c>
      <c r="G153" t="n">
        <v>23411.25</v>
      </c>
      <c r="H153" t="n">
        <v>23365.2</v>
      </c>
      <c r="I153" t="n">
        <v>15.35</v>
      </c>
      <c r="J153" t="n">
        <v>23365.2</v>
      </c>
      <c r="K153" t="inlineStr">
        <is>
          <t>10:25</t>
        </is>
      </c>
      <c r="L153" t="n">
        <v>28.7</v>
      </c>
      <c r="M153" t="n">
        <v>1.87</v>
      </c>
    </row>
    <row r="154">
      <c r="A154" t="inlineStr">
        <is>
          <t>2026-09-21</t>
        </is>
      </c>
      <c r="B154" t="inlineStr">
        <is>
          <t>12:40</t>
        </is>
      </c>
      <c r="C154" t="inlineStr">
        <is>
          <t>SL</t>
        </is>
      </c>
      <c r="D154" t="n">
        <v>23409.65</v>
      </c>
      <c r="E154" t="inlineStr">
        <is>
          <t>Long</t>
        </is>
      </c>
      <c r="F154" t="n">
        <v>23414.5</v>
      </c>
      <c r="G154" t="n">
        <v>23402.95</v>
      </c>
      <c r="H154" t="n">
        <v>23437.6</v>
      </c>
      <c r="I154" t="n">
        <v>11.55</v>
      </c>
      <c r="J154" t="n">
        <v>23402.95</v>
      </c>
      <c r="K154" t="inlineStr">
        <is>
          <t>13:05</t>
        </is>
      </c>
      <c r="L154" t="n">
        <v>-13.55</v>
      </c>
      <c r="M154" t="n">
        <v>-1.17</v>
      </c>
    </row>
    <row r="155">
      <c r="A155" t="inlineStr">
        <is>
          <t>2026-09-22</t>
        </is>
      </c>
      <c r="B155" t="inlineStr">
        <is>
          <t>09:15</t>
        </is>
      </c>
      <c r="C155" t="inlineStr">
        <is>
          <t>PDH</t>
        </is>
      </c>
      <c r="D155" t="n">
        <v>23466.65</v>
      </c>
      <c r="E155" t="inlineStr">
        <is>
          <t>Short</t>
        </is>
      </c>
      <c r="F155" t="n">
        <v>23446.55</v>
      </c>
      <c r="G155" t="n">
        <v>23494</v>
      </c>
      <c r="H155" t="n">
        <v>23351.65</v>
      </c>
      <c r="I155" t="n">
        <v>47.45</v>
      </c>
      <c r="J155" t="n">
        <v>23351.65</v>
      </c>
      <c r="K155" t="inlineStr">
        <is>
          <t>11:55</t>
        </is>
      </c>
      <c r="L155" t="n">
        <v>92.90000000000001</v>
      </c>
      <c r="M155" t="n">
        <v>1.96</v>
      </c>
      <c r="N155" t="inlineStr">
        <is>
          <t>Yes</t>
        </is>
      </c>
    </row>
    <row r="156">
      <c r="A156" t="inlineStr">
        <is>
          <t>2026-09-22</t>
        </is>
      </c>
      <c r="B156" t="inlineStr">
        <is>
          <t>13:45</t>
        </is>
      </c>
      <c r="C156" t="inlineStr">
        <is>
          <t>SL</t>
        </is>
      </c>
      <c r="D156" t="n">
        <v>23325.7</v>
      </c>
      <c r="E156" t="inlineStr">
        <is>
          <t>Long</t>
        </is>
      </c>
      <c r="F156" t="n">
        <v>23328.75</v>
      </c>
      <c r="G156" t="n">
        <v>23316.35</v>
      </c>
      <c r="H156" t="n">
        <v>23353.55</v>
      </c>
      <c r="I156" t="n">
        <v>12.4</v>
      </c>
      <c r="J156" t="n">
        <v>23316.35</v>
      </c>
      <c r="K156" t="inlineStr">
        <is>
          <t>13:50</t>
        </is>
      </c>
      <c r="L156" t="n">
        <v>-14.4</v>
      </c>
      <c r="M156" t="n">
        <v>-1.16</v>
      </c>
      <c r="N156" t="inlineStr">
        <is>
          <t>Yes</t>
        </is>
      </c>
    </row>
    <row r="157">
      <c r="A157" t="inlineStr">
        <is>
          <t>2026-09-22</t>
        </is>
      </c>
      <c r="B157" t="inlineStr">
        <is>
          <t>14:15</t>
        </is>
      </c>
      <c r="C157" t="inlineStr">
        <is>
          <t>SH</t>
        </is>
      </c>
      <c r="D157" t="n">
        <v>23390.75</v>
      </c>
      <c r="E157" t="inlineStr">
        <is>
          <t>Short</t>
        </is>
      </c>
      <c r="F157" t="n">
        <v>23384.45</v>
      </c>
      <c r="G157" t="n">
        <v>23407.3</v>
      </c>
      <c r="H157" t="n">
        <v>23338.75</v>
      </c>
      <c r="I157" t="n">
        <v>22.85</v>
      </c>
      <c r="J157" t="n">
        <v>23348.1</v>
      </c>
      <c r="K157" t="inlineStr">
        <is>
          <t>15:10</t>
        </is>
      </c>
      <c r="L157" t="n">
        <v>34.35</v>
      </c>
      <c r="M157" t="n">
        <v>1.5</v>
      </c>
      <c r="N157" t="inlineStr">
        <is>
          <t>Yes</t>
        </is>
      </c>
    </row>
    <row r="158">
      <c r="A158" t="inlineStr">
        <is>
          <t>2026-09-23</t>
        </is>
      </c>
      <c r="B158" t="inlineStr">
        <is>
          <t>11:30</t>
        </is>
      </c>
      <c r="C158" t="inlineStr">
        <is>
          <t>SH</t>
        </is>
      </c>
      <c r="D158" t="n">
        <v>23441.25</v>
      </c>
      <c r="E158" t="inlineStr">
        <is>
          <t>Short</t>
        </is>
      </c>
      <c r="F158" t="n">
        <v>23440.4</v>
      </c>
      <c r="G158" t="n">
        <v>23450.4</v>
      </c>
      <c r="H158" t="n">
        <v>23420.4</v>
      </c>
      <c r="I158" t="n">
        <v>10</v>
      </c>
      <c r="J158" t="n">
        <v>23450.4</v>
      </c>
      <c r="K158" t="inlineStr">
        <is>
          <t>12:05</t>
        </is>
      </c>
      <c r="L158" t="n">
        <v>-12</v>
      </c>
      <c r="M158" t="n">
        <v>-1.2</v>
      </c>
    </row>
    <row r="159">
      <c r="A159" t="inlineStr">
        <is>
          <t>2026-09-23</t>
        </is>
      </c>
      <c r="B159" t="inlineStr">
        <is>
          <t>12:45</t>
        </is>
      </c>
      <c r="C159" t="inlineStr">
        <is>
          <t>SL</t>
        </is>
      </c>
      <c r="D159" t="n">
        <v>23443.7</v>
      </c>
      <c r="E159" t="inlineStr">
        <is>
          <t>Long</t>
        </is>
      </c>
      <c r="F159" t="n">
        <v>23446.65</v>
      </c>
      <c r="G159" t="n">
        <v>23435.45</v>
      </c>
      <c r="H159" t="n">
        <v>23469.05</v>
      </c>
      <c r="I159" t="n">
        <v>11.2</v>
      </c>
      <c r="J159" t="n">
        <v>23435.45</v>
      </c>
      <c r="K159" t="inlineStr">
        <is>
          <t>13:30</t>
        </is>
      </c>
      <c r="L159" t="n">
        <v>-13.2</v>
      </c>
      <c r="M159" t="n">
        <v>-1.18</v>
      </c>
    </row>
    <row r="160">
      <c r="A160" t="inlineStr">
        <is>
          <t>2026-09-23</t>
        </is>
      </c>
      <c r="B160" t="inlineStr">
        <is>
          <t>13:35</t>
        </is>
      </c>
      <c r="C160" t="inlineStr">
        <is>
          <t>SL</t>
        </is>
      </c>
      <c r="D160" t="n">
        <v>23424.3</v>
      </c>
      <c r="E160" t="inlineStr">
        <is>
          <t>Long</t>
        </is>
      </c>
      <c r="F160" t="n">
        <v>23424.95</v>
      </c>
      <c r="G160" t="n">
        <v>23412.6</v>
      </c>
      <c r="H160" t="n">
        <v>23449.65</v>
      </c>
      <c r="I160" t="n">
        <v>12.35</v>
      </c>
      <c r="J160" t="n">
        <v>23449.65</v>
      </c>
      <c r="K160" t="inlineStr">
        <is>
          <t>14:10</t>
        </is>
      </c>
      <c r="L160" t="n">
        <v>22.7</v>
      </c>
      <c r="M160" t="n">
        <v>1.84</v>
      </c>
    </row>
    <row r="161">
      <c r="A161" t="inlineStr">
        <is>
          <t>2026-09-24</t>
        </is>
      </c>
      <c r="B161" t="inlineStr">
        <is>
          <t>09:55</t>
        </is>
      </c>
      <c r="C161" t="inlineStr">
        <is>
          <t>ORL</t>
        </is>
      </c>
      <c r="D161" t="n">
        <v>23215.65</v>
      </c>
      <c r="E161" t="inlineStr">
        <is>
          <t>Long</t>
        </is>
      </c>
      <c r="F161" t="n">
        <v>23225.5</v>
      </c>
      <c r="G161" t="n">
        <v>23203.9</v>
      </c>
      <c r="H161" t="n">
        <v>23268.7</v>
      </c>
      <c r="I161" t="n">
        <v>21.6</v>
      </c>
      <c r="J161" t="n">
        <v>23203.9</v>
      </c>
      <c r="K161" t="inlineStr">
        <is>
          <t>10:20</t>
        </is>
      </c>
      <c r="L161" t="n">
        <v>-23.6</v>
      </c>
      <c r="M161" t="n">
        <v>-1.09</v>
      </c>
    </row>
    <row r="162">
      <c r="A162" t="inlineStr">
        <is>
          <t>2026-09-24</t>
        </is>
      </c>
      <c r="B162" t="inlineStr">
        <is>
          <t>10:25</t>
        </is>
      </c>
      <c r="C162" t="inlineStr">
        <is>
          <t>SL</t>
        </is>
      </c>
      <c r="D162" t="n">
        <v>23208.9</v>
      </c>
      <c r="E162" t="inlineStr">
        <is>
          <t>Long</t>
        </is>
      </c>
      <c r="F162" t="n">
        <v>23210.55</v>
      </c>
      <c r="G162" t="n">
        <v>23197.2</v>
      </c>
      <c r="H162" t="n">
        <v>23237.25</v>
      </c>
      <c r="I162" t="n">
        <v>13.35</v>
      </c>
      <c r="J162" t="n">
        <v>23237.25</v>
      </c>
      <c r="K162" t="inlineStr">
        <is>
          <t>10:50</t>
        </is>
      </c>
      <c r="L162" t="n">
        <v>24.7</v>
      </c>
      <c r="M162" t="n">
        <v>1.85</v>
      </c>
    </row>
    <row r="163">
      <c r="A163" t="inlineStr">
        <is>
          <t>2026-09-24</t>
        </is>
      </c>
      <c r="B163" t="inlineStr">
        <is>
          <t>11:20</t>
        </is>
      </c>
      <c r="C163" t="inlineStr">
        <is>
          <t>SH</t>
        </is>
      </c>
      <c r="D163" t="n">
        <v>23242.75</v>
      </c>
      <c r="E163" t="inlineStr">
        <is>
          <t>Short</t>
        </is>
      </c>
      <c r="F163" t="n">
        <v>23216.95</v>
      </c>
      <c r="G163" t="n">
        <v>23249.7</v>
      </c>
      <c r="H163" t="n">
        <v>23151.45</v>
      </c>
      <c r="I163" t="n">
        <v>32.75</v>
      </c>
      <c r="J163" t="n">
        <v>23151.45</v>
      </c>
      <c r="K163" t="inlineStr">
        <is>
          <t>13:25</t>
        </is>
      </c>
      <c r="L163" t="n">
        <v>63.5</v>
      </c>
      <c r="M163" t="n">
        <v>1.94</v>
      </c>
    </row>
    <row r="164">
      <c r="A164" t="inlineStr">
        <is>
          <t>2026-09-25</t>
        </is>
      </c>
      <c r="B164" t="inlineStr">
        <is>
          <t>09:15</t>
        </is>
      </c>
      <c r="C164" t="inlineStr">
        <is>
          <t>PDL</t>
        </is>
      </c>
      <c r="D164" t="n">
        <v>23046.2</v>
      </c>
      <c r="E164" t="inlineStr">
        <is>
          <t>Long</t>
        </is>
      </c>
      <c r="F164" t="n">
        <v>23074.3</v>
      </c>
      <c r="G164" t="n">
        <v>23027.95</v>
      </c>
      <c r="H164" t="n">
        <v>23167</v>
      </c>
      <c r="I164" t="n">
        <v>46.35</v>
      </c>
      <c r="J164" t="n">
        <v>23027.95</v>
      </c>
      <c r="K164" t="inlineStr">
        <is>
          <t>12:55</t>
        </is>
      </c>
      <c r="L164" t="n">
        <v>-48.35</v>
      </c>
      <c r="M164" t="n">
        <v>-1.04</v>
      </c>
    </row>
    <row r="165">
      <c r="A165" t="inlineStr">
        <is>
          <t>2026-09-28</t>
        </is>
      </c>
      <c r="B165" t="inlineStr">
        <is>
          <t>11:10</t>
        </is>
      </c>
      <c r="C165" t="inlineStr">
        <is>
          <t>SL</t>
        </is>
      </c>
      <c r="D165" t="n">
        <v>22819.8</v>
      </c>
      <c r="E165" t="inlineStr">
        <is>
          <t>Long</t>
        </is>
      </c>
      <c r="F165" t="n">
        <v>22820.8</v>
      </c>
      <c r="G165" t="n">
        <v>22810.45</v>
      </c>
      <c r="H165" t="n">
        <v>22841.5</v>
      </c>
      <c r="I165" t="n">
        <v>10.35</v>
      </c>
      <c r="J165" t="n">
        <v>22810.45</v>
      </c>
      <c r="K165" t="inlineStr">
        <is>
          <t>11:15</t>
        </is>
      </c>
      <c r="L165" t="n">
        <v>-12.35</v>
      </c>
      <c r="M165" t="n">
        <v>-1.19</v>
      </c>
    </row>
    <row r="166">
      <c r="A166" t="inlineStr">
        <is>
          <t>2026-09-28</t>
        </is>
      </c>
      <c r="B166" t="inlineStr">
        <is>
          <t>11:40</t>
        </is>
      </c>
      <c r="C166" t="inlineStr">
        <is>
          <t>SH</t>
        </is>
      </c>
      <c r="D166" t="n">
        <v>22845.55</v>
      </c>
      <c r="E166" t="inlineStr">
        <is>
          <t>Short</t>
        </is>
      </c>
      <c r="F166" t="n">
        <v>22842.1</v>
      </c>
      <c r="G166" t="n">
        <v>22854.15</v>
      </c>
      <c r="H166" t="n">
        <v>22818</v>
      </c>
      <c r="I166" t="n">
        <v>12.05</v>
      </c>
      <c r="J166" t="n">
        <v>22818</v>
      </c>
      <c r="K166" t="inlineStr">
        <is>
          <t>11:55</t>
        </is>
      </c>
      <c r="L166" t="n">
        <v>22.1</v>
      </c>
      <c r="M166" t="n">
        <v>1.83</v>
      </c>
    </row>
    <row r="167">
      <c r="A167" t="inlineStr">
        <is>
          <t>2026-09-28</t>
        </is>
      </c>
      <c r="B167" t="inlineStr">
        <is>
          <t>13:05</t>
        </is>
      </c>
      <c r="C167" t="inlineStr">
        <is>
          <t>SL</t>
        </is>
      </c>
      <c r="D167" t="n">
        <v>22813.9</v>
      </c>
      <c r="E167" t="inlineStr">
        <is>
          <t>Long</t>
        </is>
      </c>
      <c r="F167" t="n">
        <v>22821.5</v>
      </c>
      <c r="G167" t="n">
        <v>22804.45</v>
      </c>
      <c r="H167" t="n">
        <v>22855.6</v>
      </c>
      <c r="I167" t="n">
        <v>17.05</v>
      </c>
      <c r="J167" t="n">
        <v>22804.45</v>
      </c>
      <c r="K167" t="inlineStr">
        <is>
          <t>14:15</t>
        </is>
      </c>
      <c r="L167" t="n">
        <v>-19.05</v>
      </c>
      <c r="M167" t="n">
        <v>-1.12</v>
      </c>
    </row>
    <row r="168">
      <c r="A168" t="inlineStr">
        <is>
          <t>2026-09-29</t>
        </is>
      </c>
      <c r="B168" t="inlineStr">
        <is>
          <t>10:55</t>
        </is>
      </c>
      <c r="C168" t="inlineStr">
        <is>
          <t>SH</t>
        </is>
      </c>
      <c r="D168" t="n">
        <v>22619.25</v>
      </c>
      <c r="E168" t="inlineStr">
        <is>
          <t>Short</t>
        </is>
      </c>
      <c r="F168" t="n">
        <v>22617.1</v>
      </c>
      <c r="G168" t="n">
        <v>22633.65</v>
      </c>
      <c r="H168" t="n">
        <v>22584</v>
      </c>
      <c r="I168" t="n">
        <v>16.55</v>
      </c>
      <c r="J168" t="n">
        <v>22633.65</v>
      </c>
      <c r="K168" t="inlineStr">
        <is>
          <t>11:10</t>
        </is>
      </c>
      <c r="L168" t="n">
        <v>-18.55</v>
      </c>
      <c r="M168" t="n">
        <v>-1.12</v>
      </c>
      <c r="N168" t="inlineStr">
        <is>
          <t>Yes</t>
        </is>
      </c>
    </row>
    <row r="169">
      <c r="A169" t="inlineStr">
        <is>
          <t>2026-09-29</t>
        </is>
      </c>
      <c r="B169" t="inlineStr">
        <is>
          <t>12:55</t>
        </is>
      </c>
      <c r="C169" t="inlineStr">
        <is>
          <t>SH</t>
        </is>
      </c>
      <c r="D169" t="n">
        <v>22698</v>
      </c>
      <c r="E169" t="inlineStr">
        <is>
          <t>Short</t>
        </is>
      </c>
      <c r="F169" t="n">
        <v>22688.1</v>
      </c>
      <c r="G169" t="n">
        <v>22710</v>
      </c>
      <c r="H169" t="n">
        <v>22644.3</v>
      </c>
      <c r="I169" t="n">
        <v>21.9</v>
      </c>
      <c r="J169" t="n">
        <v>22644.3</v>
      </c>
      <c r="K169" t="inlineStr">
        <is>
          <t>13:35</t>
        </is>
      </c>
      <c r="L169" t="n">
        <v>41.8</v>
      </c>
      <c r="M169" t="n">
        <v>1.91</v>
      </c>
      <c r="N169" t="inlineStr">
        <is>
          <t>Yes</t>
        </is>
      </c>
    </row>
    <row r="170">
      <c r="A170" t="inlineStr">
        <is>
          <t>2026-09-29</t>
        </is>
      </c>
      <c r="B170" t="inlineStr">
        <is>
          <t>14:10</t>
        </is>
      </c>
      <c r="C170" t="inlineStr">
        <is>
          <t>SH</t>
        </is>
      </c>
      <c r="D170" t="n">
        <v>22675.55</v>
      </c>
      <c r="E170" t="inlineStr">
        <is>
          <t>Short</t>
        </is>
      </c>
      <c r="F170" t="n">
        <v>22671.55</v>
      </c>
      <c r="G170" t="n">
        <v>22689.15</v>
      </c>
      <c r="H170" t="n">
        <v>22636.35</v>
      </c>
      <c r="I170" t="n">
        <v>17.6</v>
      </c>
      <c r="J170" t="n">
        <v>22689.15</v>
      </c>
      <c r="K170" t="inlineStr">
        <is>
          <t>14:30</t>
        </is>
      </c>
      <c r="L170" t="n">
        <v>-19.6</v>
      </c>
      <c r="M170" t="n">
        <v>-1.11</v>
      </c>
      <c r="N170" t="inlineStr">
        <is>
          <t>Yes</t>
        </is>
      </c>
    </row>
    <row r="171">
      <c r="A171" t="inlineStr">
        <is>
          <t>2026-10-01</t>
        </is>
      </c>
      <c r="B171" t="inlineStr">
        <is>
          <t>12:05</t>
        </is>
      </c>
      <c r="C171" t="inlineStr">
        <is>
          <t>SL</t>
        </is>
      </c>
      <c r="D171" t="n">
        <v>22529.7</v>
      </c>
      <c r="E171" t="inlineStr">
        <is>
          <t>Long</t>
        </is>
      </c>
      <c r="F171" t="n">
        <v>22532.3</v>
      </c>
      <c r="G171" t="n">
        <v>22521.65</v>
      </c>
      <c r="H171" t="n">
        <v>22553.6</v>
      </c>
      <c r="I171" t="n">
        <v>10.65</v>
      </c>
      <c r="J171" t="n">
        <v>22521.65</v>
      </c>
      <c r="K171" t="inlineStr">
        <is>
          <t>12:10</t>
        </is>
      </c>
      <c r="L171" t="n">
        <v>-12.65</v>
      </c>
      <c r="M171" t="n">
        <v>-1.19</v>
      </c>
    </row>
    <row r="172">
      <c r="A172" t="inlineStr">
        <is>
          <t>2026-10-01</t>
        </is>
      </c>
      <c r="B172" t="inlineStr">
        <is>
          <t>14:30</t>
        </is>
      </c>
      <c r="C172" t="inlineStr">
        <is>
          <t>SH</t>
        </is>
      </c>
      <c r="D172" t="n">
        <v>22363.55</v>
      </c>
      <c r="E172" t="inlineStr">
        <is>
          <t>Short</t>
        </is>
      </c>
      <c r="F172" t="n">
        <v>22362.15</v>
      </c>
      <c r="G172" t="n">
        <v>22376.9</v>
      </c>
      <c r="H172" t="n">
        <v>22332.65</v>
      </c>
      <c r="I172" t="n">
        <v>14.75</v>
      </c>
      <c r="J172" t="n">
        <v>22376.9</v>
      </c>
      <c r="K172" t="inlineStr">
        <is>
          <t>14:35</t>
        </is>
      </c>
      <c r="L172" t="n">
        <v>-16.75</v>
      </c>
      <c r="M172" t="n">
        <v>-1.14</v>
      </c>
    </row>
    <row r="173">
      <c r="A173" t="inlineStr">
        <is>
          <t>2026-10-05</t>
        </is>
      </c>
      <c r="B173" t="inlineStr">
        <is>
          <t>09:45</t>
        </is>
      </c>
      <c r="C173" t="inlineStr">
        <is>
          <t>PDH</t>
        </is>
      </c>
      <c r="D173" t="n">
        <v>22610.55</v>
      </c>
      <c r="E173" t="inlineStr">
        <is>
          <t>Short</t>
        </is>
      </c>
      <c r="F173" t="n">
        <v>22610.3</v>
      </c>
      <c r="G173" t="n">
        <v>22620.5</v>
      </c>
      <c r="H173" t="n">
        <v>22589.9</v>
      </c>
      <c r="I173" t="n">
        <v>10.2</v>
      </c>
      <c r="J173" t="n">
        <v>22620.5</v>
      </c>
      <c r="K173" t="inlineStr">
        <is>
          <t>09:50</t>
        </is>
      </c>
      <c r="L173" t="n">
        <v>-12.2</v>
      </c>
      <c r="M173" t="n">
        <v>-1.2</v>
      </c>
    </row>
    <row r="174">
      <c r="A174" t="inlineStr">
        <is>
          <t>2026-10-05</t>
        </is>
      </c>
      <c r="B174" t="inlineStr">
        <is>
          <t>10:55</t>
        </is>
      </c>
      <c r="C174" t="inlineStr">
        <is>
          <t>SL</t>
        </is>
      </c>
      <c r="D174" t="n">
        <v>22468.75</v>
      </c>
      <c r="E174" t="inlineStr">
        <is>
          <t>Long</t>
        </is>
      </c>
      <c r="F174" t="n">
        <v>22502.55</v>
      </c>
      <c r="G174" t="n">
        <v>22455.8</v>
      </c>
      <c r="H174" t="n">
        <v>22596.05</v>
      </c>
      <c r="I174" t="n">
        <v>46.75</v>
      </c>
      <c r="J174" t="n">
        <v>22455.8</v>
      </c>
      <c r="K174" t="inlineStr">
        <is>
          <t>11:20</t>
        </is>
      </c>
      <c r="L174" t="n">
        <v>-48.75</v>
      </c>
      <c r="M174" t="n">
        <v>-1.04</v>
      </c>
    </row>
    <row r="175">
      <c r="A175" t="inlineStr">
        <is>
          <t>2026-10-05</t>
        </is>
      </c>
      <c r="B175" t="inlineStr">
        <is>
          <t>11:30</t>
        </is>
      </c>
      <c r="C175" t="inlineStr">
        <is>
          <t>SH</t>
        </is>
      </c>
      <c r="D175" t="n">
        <v>22511.9</v>
      </c>
      <c r="E175" t="inlineStr">
        <is>
          <t>Short</t>
        </is>
      </c>
      <c r="F175" t="n">
        <v>22507.1</v>
      </c>
      <c r="G175" t="n">
        <v>22528.45</v>
      </c>
      <c r="H175" t="n">
        <v>22464.4</v>
      </c>
      <c r="I175" t="n">
        <v>21.35</v>
      </c>
      <c r="J175" t="n">
        <v>22464.4</v>
      </c>
      <c r="K175" t="inlineStr">
        <is>
          <t>11:45</t>
        </is>
      </c>
      <c r="L175" t="n">
        <v>40.7</v>
      </c>
      <c r="M175" t="n">
        <v>1.91</v>
      </c>
    </row>
    <row r="176">
      <c r="A176" t="inlineStr">
        <is>
          <t>2026-10-06</t>
        </is>
      </c>
      <c r="B176" t="inlineStr">
        <is>
          <t>09:15</t>
        </is>
      </c>
      <c r="C176" t="inlineStr">
        <is>
          <t>PDH</t>
        </is>
      </c>
      <c r="D176" t="n">
        <v>22621.8</v>
      </c>
      <c r="E176" t="inlineStr">
        <is>
          <t>Short</t>
        </is>
      </c>
      <c r="F176" t="n">
        <v>22585</v>
      </c>
      <c r="G176" t="n">
        <v>22631.65</v>
      </c>
      <c r="H176" t="n">
        <v>22491.7</v>
      </c>
      <c r="I176" t="n">
        <v>46.65</v>
      </c>
      <c r="J176" t="n">
        <v>22631.65</v>
      </c>
      <c r="K176" t="inlineStr">
        <is>
          <t>09:45</t>
        </is>
      </c>
      <c r="L176" t="n">
        <v>-48.65</v>
      </c>
      <c r="M176" t="n">
        <v>-1.04</v>
      </c>
      <c r="N176" t="inlineStr">
        <is>
          <t>Yes</t>
        </is>
      </c>
    </row>
    <row r="177">
      <c r="A177" t="inlineStr">
        <is>
          <t>2026-10-06</t>
        </is>
      </c>
      <c r="B177" t="inlineStr">
        <is>
          <t>13:25</t>
        </is>
      </c>
      <c r="C177" t="inlineStr">
        <is>
          <t>SL</t>
        </is>
      </c>
      <c r="D177" t="n">
        <v>22693.15</v>
      </c>
      <c r="E177" t="inlineStr">
        <is>
          <t>Long</t>
        </is>
      </c>
      <c r="F177" t="n">
        <v>22698.85</v>
      </c>
      <c r="G177" t="n">
        <v>22686.25</v>
      </c>
      <c r="H177" t="n">
        <v>22724.05</v>
      </c>
      <c r="I177" t="n">
        <v>12.6</v>
      </c>
      <c r="J177" t="n">
        <v>22724.05</v>
      </c>
      <c r="K177" t="inlineStr">
        <is>
          <t>14:00</t>
        </is>
      </c>
      <c r="L177" t="n">
        <v>23.2</v>
      </c>
      <c r="M177" t="n">
        <v>1.84</v>
      </c>
      <c r="N177" t="inlineStr">
        <is>
          <t>Yes</t>
        </is>
      </c>
    </row>
    <row r="178">
      <c r="A178" t="inlineStr">
        <is>
          <t>2026-10-07</t>
        </is>
      </c>
      <c r="B178" t="inlineStr">
        <is>
          <t>10:00</t>
        </is>
      </c>
      <c r="C178" t="inlineStr">
        <is>
          <t>SL</t>
        </is>
      </c>
      <c r="D178" t="n">
        <v>22585.4</v>
      </c>
      <c r="E178" t="inlineStr">
        <is>
          <t>Long</t>
        </is>
      </c>
      <c r="F178" t="n">
        <v>22608.95</v>
      </c>
      <c r="G178" t="n">
        <v>22573.35</v>
      </c>
      <c r="H178" t="n">
        <v>22680.15</v>
      </c>
      <c r="I178" t="n">
        <v>35.6</v>
      </c>
      <c r="J178" t="n">
        <v>22680.15</v>
      </c>
      <c r="K178" t="inlineStr">
        <is>
          <t>10:15</t>
        </is>
      </c>
      <c r="L178" t="n">
        <v>69.2</v>
      </c>
      <c r="M178" t="n">
        <v>1.94</v>
      </c>
    </row>
    <row r="179">
      <c r="A179" t="inlineStr">
        <is>
          <t>2026-10-07</t>
        </is>
      </c>
      <c r="B179" t="inlineStr">
        <is>
          <t>12:10</t>
        </is>
      </c>
      <c r="C179" t="inlineStr">
        <is>
          <t>SL</t>
        </is>
      </c>
      <c r="D179" t="n">
        <v>22668.2</v>
      </c>
      <c r="E179" t="inlineStr">
        <is>
          <t>Long</t>
        </is>
      </c>
      <c r="F179" t="n">
        <v>22674.9</v>
      </c>
      <c r="G179" t="n">
        <v>22660.15</v>
      </c>
      <c r="H179" t="n">
        <v>22704.4</v>
      </c>
      <c r="I179" t="n">
        <v>14.75</v>
      </c>
      <c r="J179" t="n">
        <v>22660.15</v>
      </c>
      <c r="K179" t="inlineStr">
        <is>
          <t>12:25</t>
        </is>
      </c>
      <c r="L179" t="n">
        <v>-16.75</v>
      </c>
      <c r="M179" t="n">
        <v>-1.14</v>
      </c>
    </row>
    <row r="180">
      <c r="A180" t="inlineStr">
        <is>
          <t>2026-10-07</t>
        </is>
      </c>
      <c r="B180" t="inlineStr">
        <is>
          <t>12:30</t>
        </is>
      </c>
      <c r="C180" t="inlineStr">
        <is>
          <t>SL</t>
        </is>
      </c>
      <c r="D180" t="n">
        <v>22659.05</v>
      </c>
      <c r="E180" t="inlineStr">
        <is>
          <t>Long</t>
        </is>
      </c>
      <c r="F180" t="n">
        <v>22660.4</v>
      </c>
      <c r="G180" t="n">
        <v>22641.45</v>
      </c>
      <c r="H180" t="n">
        <v>22698.3</v>
      </c>
      <c r="I180" t="n">
        <v>18.95</v>
      </c>
      <c r="J180" t="n">
        <v>22641.45</v>
      </c>
      <c r="K180" t="inlineStr">
        <is>
          <t>12:55</t>
        </is>
      </c>
      <c r="L180" t="n">
        <v>-20.95</v>
      </c>
      <c r="M180" t="n">
        <v>-1.11</v>
      </c>
    </row>
    <row r="181">
      <c r="A181" t="inlineStr">
        <is>
          <t>2026-10-08</t>
        </is>
      </c>
      <c r="B181" t="inlineStr">
        <is>
          <t>10:20</t>
        </is>
      </c>
      <c r="C181" t="inlineStr">
        <is>
          <t>SL</t>
        </is>
      </c>
      <c r="D181" t="n">
        <v>22445.7</v>
      </c>
      <c r="E181" t="inlineStr">
        <is>
          <t>Long</t>
        </is>
      </c>
      <c r="F181" t="n">
        <v>22456.9</v>
      </c>
      <c r="G181" t="n">
        <v>22434.55</v>
      </c>
      <c r="H181" t="n">
        <v>22501.6</v>
      </c>
      <c r="I181" t="n">
        <v>22.35</v>
      </c>
      <c r="J181" t="n">
        <v>22434.55</v>
      </c>
      <c r="K181" t="inlineStr">
        <is>
          <t>10:30</t>
        </is>
      </c>
      <c r="L181" t="n">
        <v>-24.35</v>
      </c>
      <c r="M181" t="n">
        <v>-1.09</v>
      </c>
    </row>
    <row r="182">
      <c r="A182" t="inlineStr">
        <is>
          <t>2026-10-09</t>
        </is>
      </c>
      <c r="B182" t="inlineStr">
        <is>
          <t>11:40</t>
        </is>
      </c>
      <c r="C182" t="inlineStr">
        <is>
          <t>SL</t>
        </is>
      </c>
      <c r="D182" t="n">
        <v>22480.2</v>
      </c>
      <c r="E182" t="inlineStr">
        <is>
          <t>Long</t>
        </is>
      </c>
      <c r="F182" t="n">
        <v>22486.7</v>
      </c>
      <c r="G182" t="n">
        <v>22467.05</v>
      </c>
      <c r="H182" t="n">
        <v>22526</v>
      </c>
      <c r="I182" t="n">
        <v>19.65</v>
      </c>
      <c r="J182" t="n">
        <v>22467.05</v>
      </c>
      <c r="K182" t="inlineStr">
        <is>
          <t>11:50</t>
        </is>
      </c>
      <c r="L182" t="n">
        <v>-21.65</v>
      </c>
      <c r="M182" t="n">
        <v>-1.1</v>
      </c>
    </row>
    <row r="183">
      <c r="A183" t="inlineStr">
        <is>
          <t>2026-10-09</t>
        </is>
      </c>
      <c r="B183" t="inlineStr">
        <is>
          <t>13:45</t>
        </is>
      </c>
      <c r="C183" t="inlineStr">
        <is>
          <t>SH</t>
        </is>
      </c>
      <c r="D183" t="n">
        <v>22534.2</v>
      </c>
      <c r="E183" t="inlineStr">
        <is>
          <t>Short</t>
        </is>
      </c>
      <c r="F183" t="n">
        <v>22533.25</v>
      </c>
      <c r="G183" t="n">
        <v>22543.4</v>
      </c>
      <c r="H183" t="n">
        <v>22512.95</v>
      </c>
      <c r="I183" t="n">
        <v>10.15</v>
      </c>
      <c r="J183" t="n">
        <v>22543.4</v>
      </c>
      <c r="K183" t="inlineStr">
        <is>
          <t>13:55</t>
        </is>
      </c>
      <c r="L183" t="n">
        <v>-12.15</v>
      </c>
      <c r="M183" t="n">
        <v>-1.2</v>
      </c>
    </row>
    <row r="184">
      <c r="A184" t="inlineStr">
        <is>
          <t>2026-10-12</t>
        </is>
      </c>
      <c r="B184" t="inlineStr">
        <is>
          <t>10:45</t>
        </is>
      </c>
      <c r="C184" t="inlineStr">
        <is>
          <t>SL</t>
        </is>
      </c>
      <c r="D184" t="n">
        <v>22455.45</v>
      </c>
      <c r="E184" t="inlineStr">
        <is>
          <t>Long</t>
        </is>
      </c>
      <c r="F184" t="n">
        <v>22460.35</v>
      </c>
      <c r="G184" t="n">
        <v>22445.6</v>
      </c>
      <c r="H184" t="n">
        <v>22489.85</v>
      </c>
      <c r="I184" t="n">
        <v>14.75</v>
      </c>
      <c r="J184" t="n">
        <v>22445.6</v>
      </c>
      <c r="K184" t="inlineStr">
        <is>
          <t>10:50</t>
        </is>
      </c>
      <c r="L184" t="n">
        <v>-16.75</v>
      </c>
      <c r="M184" t="n">
        <v>-1.14</v>
      </c>
    </row>
    <row r="185">
      <c r="A185" t="inlineStr">
        <is>
          <t>2026-10-12</t>
        </is>
      </c>
      <c r="B185" t="inlineStr">
        <is>
          <t>11:45</t>
        </is>
      </c>
      <c r="C185" t="inlineStr">
        <is>
          <t>SL</t>
        </is>
      </c>
      <c r="D185" t="n">
        <v>22370.7</v>
      </c>
      <c r="E185" t="inlineStr">
        <is>
          <t>Long</t>
        </is>
      </c>
      <c r="F185" t="n">
        <v>22376.7</v>
      </c>
      <c r="G185" t="n">
        <v>22355.7</v>
      </c>
      <c r="H185" t="n">
        <v>22418.7</v>
      </c>
      <c r="I185" t="n">
        <v>21</v>
      </c>
      <c r="J185" t="n">
        <v>22355.7</v>
      </c>
      <c r="K185" t="inlineStr">
        <is>
          <t>12:05</t>
        </is>
      </c>
      <c r="L185" t="n">
        <v>-23</v>
      </c>
      <c r="M185" t="n">
        <v>-1.1</v>
      </c>
    </row>
    <row r="186">
      <c r="A186" t="inlineStr">
        <is>
          <t>2026-10-12</t>
        </is>
      </c>
      <c r="B186" t="inlineStr">
        <is>
          <t>12:10</t>
        </is>
      </c>
      <c r="C186" t="inlineStr">
        <is>
          <t>SL</t>
        </is>
      </c>
      <c r="D186" t="n">
        <v>22360.7</v>
      </c>
      <c r="E186" t="inlineStr">
        <is>
          <t>Long</t>
        </is>
      </c>
      <c r="F186" t="n">
        <v>22368.05</v>
      </c>
      <c r="G186" t="n">
        <v>22347.55</v>
      </c>
      <c r="H186" t="n">
        <v>22409.05</v>
      </c>
      <c r="I186" t="n">
        <v>20.5</v>
      </c>
      <c r="J186" t="n">
        <v>22409.05</v>
      </c>
      <c r="K186" t="inlineStr">
        <is>
          <t>12:40</t>
        </is>
      </c>
      <c r="L186" t="n">
        <v>39</v>
      </c>
      <c r="M186" t="n">
        <v>1.9</v>
      </c>
    </row>
    <row r="187">
      <c r="A187" t="inlineStr">
        <is>
          <t>2026-10-13</t>
        </is>
      </c>
      <c r="B187" t="inlineStr">
        <is>
          <t>11:25</t>
        </is>
      </c>
      <c r="C187" t="inlineStr">
        <is>
          <t>SL</t>
        </is>
      </c>
      <c r="D187" t="n">
        <v>22485.95</v>
      </c>
      <c r="E187" t="inlineStr">
        <is>
          <t>Long</t>
        </is>
      </c>
      <c r="F187" t="n">
        <v>22486.25</v>
      </c>
      <c r="G187" t="n">
        <v>22475.8</v>
      </c>
      <c r="H187" t="n">
        <v>22507.15</v>
      </c>
      <c r="I187" t="n">
        <v>10.45</v>
      </c>
      <c r="J187" t="n">
        <v>22507.15</v>
      </c>
      <c r="K187" t="inlineStr">
        <is>
          <t>11:30</t>
        </is>
      </c>
      <c r="L187" t="n">
        <v>18.9</v>
      </c>
      <c r="M187" t="n">
        <v>1.81</v>
      </c>
      <c r="N187" t="inlineStr">
        <is>
          <t>Yes</t>
        </is>
      </c>
    </row>
    <row r="188">
      <c r="A188" t="inlineStr">
        <is>
          <t>2026-10-13</t>
        </is>
      </c>
      <c r="B188" t="inlineStr">
        <is>
          <t>13:20</t>
        </is>
      </c>
      <c r="C188" t="inlineStr">
        <is>
          <t>SL</t>
        </is>
      </c>
      <c r="D188" t="n">
        <v>22528.85</v>
      </c>
      <c r="E188" t="inlineStr">
        <is>
          <t>Long</t>
        </is>
      </c>
      <c r="F188" t="n">
        <v>22534.55</v>
      </c>
      <c r="G188" t="n">
        <v>22516.9</v>
      </c>
      <c r="H188" t="n">
        <v>22569.85</v>
      </c>
      <c r="I188" t="n">
        <v>17.65</v>
      </c>
      <c r="J188" t="n">
        <v>22569.85</v>
      </c>
      <c r="K188" t="inlineStr">
        <is>
          <t>14:00</t>
        </is>
      </c>
      <c r="L188" t="n">
        <v>33.3</v>
      </c>
      <c r="M188" t="n">
        <v>1.89</v>
      </c>
      <c r="N188" t="inlineStr">
        <is>
          <t>Yes</t>
        </is>
      </c>
    </row>
    <row r="189">
      <c r="A189" t="inlineStr">
        <is>
          <t>2026-10-13</t>
        </is>
      </c>
      <c r="B189" t="inlineStr">
        <is>
          <t>14:05</t>
        </is>
      </c>
      <c r="C189" t="inlineStr">
        <is>
          <t>SH</t>
        </is>
      </c>
      <c r="D189" t="n">
        <v>22581</v>
      </c>
      <c r="E189" t="inlineStr">
        <is>
          <t>Short</t>
        </is>
      </c>
      <c r="F189" t="n">
        <v>22579.55</v>
      </c>
      <c r="G189" t="n">
        <v>22591.15</v>
      </c>
      <c r="H189" t="n">
        <v>22556.35</v>
      </c>
      <c r="I189" t="n">
        <v>11.6</v>
      </c>
      <c r="J189" t="n">
        <v>22591.15</v>
      </c>
      <c r="K189" t="inlineStr">
        <is>
          <t>14:15</t>
        </is>
      </c>
      <c r="L189" t="n">
        <v>-13.6</v>
      </c>
      <c r="M189" t="n">
        <v>-1.17</v>
      </c>
      <c r="N189" t="inlineStr">
        <is>
          <t>Yes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3"/>
  <sheetViews>
    <sheetView tabSelected="0" workbookViewId="0">
      <selection activeCell="A1" sqref="A1"/>
    </sheetView>
  </sheetViews>
  <sheetFormatPr baseColWidth="8" defaultRowHeight="15"/>
  <cols>
    <col width="3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s>
  <sheetData>
    <row r="1">
      <c r="A1" s="14" t="inlineStr">
        <is>
          <t>Rules (frozen trigger, entry only after the full trigger)</t>
        </is>
      </c>
    </row>
    <row r="2">
      <c r="A2" t="inlineStr">
        <is>
          <t>Data: Yahoo NIFTY 5-minute bars, 2026-07-28 onwards (59 sessions to 2026-10-13). Levels = previous day high/low (generic stand-in for the plan zones).</t>
        </is>
      </c>
    </row>
    <row r="3">
      <c r="A3" t="inlineStr">
        <is>
          <t>Long (A-type): trade below PDL -&gt; 15m close above last confirmed 15m swing high (2 bars each side) -&gt; 5m close above VWAP, above PDL and above the day's open. Entry at that 5m close.</t>
        </is>
      </c>
    </row>
    <row r="4">
      <c r="A4" t="inlineStr">
        <is>
          <t>Short (B-type): trade above PDH -&gt; 15m close back below PDH -&gt; 5m close below last confirmed 5m swing low -&gt; 5m close below VWAP, below PDH and below the day's open. Entry at that 5m close.</t>
        </is>
      </c>
    </row>
    <row r="5">
      <c r="A5" t="inlineStr">
        <is>
          <t>Stop (main tables and trade list): structure. Long = last confirmed 15m swing low after the sweep - 5; short = last confirmed 5m swing high after the raid + 5. If none, sweep low - 5 / raid high + 15.</t>
        </is>
      </c>
    </row>
    <row r="6">
      <c r="A6" t="inlineStr">
        <is>
          <t>Target 2R; exit 15:10 if neither hit; entries 09:30-14:30 only; 1 trade per side per day; 2 index pts costs; if stop and target hit in the same bar, stop assumed first.</t>
        </is>
      </c>
    </row>
    <row r="7">
      <c r="A7" t="inlineStr">
        <is>
          <t>VWAP proxy: NIFTYBEES ETF session VWAP (NIFTY index has no volume). 'Cap 160' skips trades with risk &gt; 160 pts, as in the plan.</t>
        </is>
      </c>
    </row>
    <row r="9">
      <c r="A9" s="14" t="inlineStr">
        <is>
          <t>Period / risk cap</t>
        </is>
      </c>
      <c r="B9" s="14" t="inlineStr">
        <is>
          <t>Trades</t>
        </is>
      </c>
      <c r="C9" s="14" t="inlineStr">
        <is>
          <t>Win %</t>
        </is>
      </c>
      <c r="D9" s="14" t="inlineStr">
        <is>
          <t>Avg win (R)</t>
        </is>
      </c>
      <c r="E9" s="14" t="inlineStr">
        <is>
          <t>Avg loss (R)</t>
        </is>
      </c>
      <c r="F9" s="14" t="inlineStr">
        <is>
          <t>Expectancy (R)</t>
        </is>
      </c>
      <c r="G9" s="14" t="inlineStr">
        <is>
          <t>Total R</t>
        </is>
      </c>
      <c r="H9" s="14" t="inlineStr">
        <is>
          <t>Profit factor</t>
        </is>
      </c>
      <c r="I9" s="14" t="inlineStr">
        <is>
          <t>Max drawdown (R)</t>
        </is>
      </c>
      <c r="J9" s="14" t="inlineStr">
        <is>
          <t>Max consecutive losses</t>
        </is>
      </c>
    </row>
    <row r="10">
      <c r="A10" t="inlineStr">
        <is>
          <t>1-13 Oct, cap 160</t>
        </is>
      </c>
      <c r="B10" t="n">
        <v>3</v>
      </c>
      <c r="C10" t="n">
        <v>67</v>
      </c>
      <c r="D10" t="n">
        <v>1.97</v>
      </c>
      <c r="E10" t="n">
        <v>-0.15</v>
      </c>
      <c r="F10" t="n">
        <v>1.263</v>
      </c>
      <c r="G10" t="n">
        <v>3.79</v>
      </c>
      <c r="H10" t="n">
        <v>26.27</v>
      </c>
      <c r="I10" t="n">
        <v>-0.15</v>
      </c>
      <c r="J10" t="n">
        <v>1</v>
      </c>
    </row>
    <row r="11">
      <c r="A11" t="inlineStr">
        <is>
          <t>1-13 Oct, no cap</t>
        </is>
      </c>
      <c r="B11" t="n">
        <v>3</v>
      </c>
      <c r="C11" t="n">
        <v>67</v>
      </c>
      <c r="D11" t="n">
        <v>1.97</v>
      </c>
      <c r="E11" t="n">
        <v>-0.15</v>
      </c>
      <c r="F11" t="n">
        <v>1.263</v>
      </c>
      <c r="G11" t="n">
        <v>3.79</v>
      </c>
      <c r="H11" t="n">
        <v>26.27</v>
      </c>
      <c r="I11" t="n">
        <v>-0.15</v>
      </c>
      <c r="J11" t="n">
        <v>1</v>
      </c>
    </row>
    <row r="12">
      <c r="A12" t="inlineStr">
        <is>
          <t>Full window, cap 160</t>
        </is>
      </c>
      <c r="B12" t="n">
        <v>17</v>
      </c>
      <c r="C12" t="n">
        <v>65</v>
      </c>
      <c r="D12" t="n">
        <v>1.12</v>
      </c>
      <c r="E12" t="n">
        <v>-0.59</v>
      </c>
      <c r="F12" t="n">
        <v>0.516</v>
      </c>
      <c r="G12" t="n">
        <v>8.77</v>
      </c>
      <c r="H12" t="n">
        <v>3.49</v>
      </c>
      <c r="I12" t="n">
        <v>-2.23</v>
      </c>
      <c r="J12" t="n">
        <v>3</v>
      </c>
    </row>
    <row r="13">
      <c r="A13" t="inlineStr">
        <is>
          <t>Full window, no cap</t>
        </is>
      </c>
      <c r="B13" t="n">
        <v>17</v>
      </c>
      <c r="C13" t="n">
        <v>65</v>
      </c>
      <c r="D13" t="n">
        <v>1.12</v>
      </c>
      <c r="E13" t="n">
        <v>-0.59</v>
      </c>
      <c r="F13" t="n">
        <v>0.516</v>
      </c>
      <c r="G13" t="n">
        <v>8.77</v>
      </c>
      <c r="H13" t="n">
        <v>3.49</v>
      </c>
      <c r="I13" t="n">
        <v>-2.23</v>
      </c>
      <c r="J13" t="n">
        <v>3</v>
      </c>
    </row>
    <row r="15">
      <c r="A15" s="14" t="inlineStr">
        <is>
          <t>Stop / target variants (full window, no cap)</t>
        </is>
      </c>
      <c r="B15" s="14" t="inlineStr">
        <is>
          <t>Trades</t>
        </is>
      </c>
      <c r="C15" s="14" t="inlineStr">
        <is>
          <t>Win %</t>
        </is>
      </c>
      <c r="D15" s="14" t="inlineStr">
        <is>
          <t>Avg win (R)</t>
        </is>
      </c>
      <c r="E15" s="14" t="inlineStr">
        <is>
          <t>Avg loss (R)</t>
        </is>
      </c>
      <c r="F15" s="14" t="inlineStr">
        <is>
          <t>Expectancy (R)</t>
        </is>
      </c>
      <c r="G15" s="14" t="inlineStr">
        <is>
          <t>Total R</t>
        </is>
      </c>
      <c r="H15" s="14" t="inlineStr">
        <is>
          <t>Profit factor</t>
        </is>
      </c>
      <c r="I15" s="14" t="inlineStr">
        <is>
          <t>Max drawdown (R)</t>
        </is>
      </c>
      <c r="J15" s="14" t="inlineStr">
        <is>
          <t>Max consecutive losses</t>
        </is>
      </c>
      <c r="K15" s="14" t="inlineStr">
        <is>
          <t>Skipped</t>
        </is>
      </c>
    </row>
    <row r="16">
      <c r="A16" t="inlineStr">
        <is>
          <t>v2: structure stop + day-open filter (2R, 15:10)</t>
        </is>
      </c>
      <c r="B16" t="n">
        <v>17</v>
      </c>
      <c r="C16" t="n">
        <v>65</v>
      </c>
      <c r="D16" t="n">
        <v>1.12</v>
      </c>
      <c r="E16" t="n">
        <v>-0.59</v>
      </c>
      <c r="F16" t="n">
        <v>0.516</v>
      </c>
      <c r="G16" t="n">
        <v>8.77</v>
      </c>
      <c r="H16" t="n">
        <v>3.49</v>
      </c>
      <c r="I16" t="n">
        <v>-2.23</v>
      </c>
      <c r="J16" t="n">
        <v>3</v>
      </c>
      <c r="K16" t="n">
        <v>0</v>
      </c>
    </row>
    <row r="17">
      <c r="A17" t="inlineStr">
        <is>
          <t>Structure stop + VWAP-slope filter</t>
        </is>
      </c>
      <c r="B17" t="n">
        <v>20</v>
      </c>
      <c r="C17" t="n">
        <v>60</v>
      </c>
      <c r="D17" t="n">
        <v>1.1</v>
      </c>
      <c r="E17" t="n">
        <v>-0.8100000000000001</v>
      </c>
      <c r="F17" t="n">
        <v>0.337</v>
      </c>
      <c r="G17" t="n">
        <v>6.74</v>
      </c>
      <c r="H17" t="n">
        <v>2.04</v>
      </c>
      <c r="I17" t="n">
        <v>-2.08</v>
      </c>
      <c r="J17" t="n">
        <v>3</v>
      </c>
      <c r="K17" t="n">
        <v>0</v>
      </c>
    </row>
    <row r="18">
      <c r="A18" t="inlineStr">
        <is>
          <t>Structure stop, no filter</t>
        </is>
      </c>
      <c r="B18" t="n">
        <v>20</v>
      </c>
      <c r="C18" t="n">
        <v>60</v>
      </c>
      <c r="D18" t="n">
        <v>1.09</v>
      </c>
      <c r="E18" t="n">
        <v>-0.8100000000000001</v>
      </c>
      <c r="F18" t="n">
        <v>0.328</v>
      </c>
      <c r="G18" t="n">
        <v>6.57</v>
      </c>
      <c r="H18" t="n">
        <v>2.01</v>
      </c>
      <c r="I18" t="n">
        <v>-2.08</v>
      </c>
      <c r="J18" t="n">
        <v>3</v>
      </c>
      <c r="K18" t="n">
        <v>0</v>
      </c>
    </row>
    <row r="19">
      <c r="A19" t="inlineStr">
        <is>
          <t>Structure stop, exit 15:20</t>
        </is>
      </c>
      <c r="B19" t="n">
        <v>20</v>
      </c>
      <c r="C19" t="n">
        <v>60</v>
      </c>
      <c r="D19" t="n">
        <v>1.08</v>
      </c>
      <c r="E19" t="n">
        <v>-0.82</v>
      </c>
      <c r="F19" t="n">
        <v>0.323</v>
      </c>
      <c r="G19" t="n">
        <v>6.46</v>
      </c>
      <c r="H19" t="n">
        <v>1.98</v>
      </c>
      <c r="I19" t="n">
        <v>-2.14</v>
      </c>
      <c r="J19" t="n">
        <v>3</v>
      </c>
      <c r="K19" t="n">
        <v>0</v>
      </c>
    </row>
    <row r="20">
      <c r="A20" t="inlineStr">
        <is>
          <t>Structure stop, exit 15:30</t>
        </is>
      </c>
      <c r="B20" t="n">
        <v>20</v>
      </c>
      <c r="C20" t="n">
        <v>55</v>
      </c>
      <c r="D20" t="n">
        <v>1.33</v>
      </c>
      <c r="E20" t="n">
        <v>-0.8100000000000001</v>
      </c>
      <c r="F20" t="n">
        <v>0.368</v>
      </c>
      <c r="G20" t="n">
        <v>7.37</v>
      </c>
      <c r="H20" t="n">
        <v>2.01</v>
      </c>
      <c r="I20" t="n">
        <v>-2.51</v>
      </c>
      <c r="J20" t="n">
        <v>2</v>
      </c>
      <c r="K20" t="n">
        <v>0</v>
      </c>
    </row>
    <row r="21">
      <c r="A21" t="inlineStr">
        <is>
          <t>Sweep-extreme stop, 2R</t>
        </is>
      </c>
      <c r="B21" t="n">
        <v>20</v>
      </c>
      <c r="C21" t="n">
        <v>65</v>
      </c>
      <c r="D21" t="n">
        <v>0.66</v>
      </c>
      <c r="E21" t="n">
        <v>-0.77</v>
      </c>
      <c r="F21" t="n">
        <v>0.158</v>
      </c>
      <c r="G21" t="n">
        <v>3.16</v>
      </c>
      <c r="H21" t="n">
        <v>1.59</v>
      </c>
      <c r="I21" t="n">
        <v>-2.15</v>
      </c>
      <c r="J21" t="n">
        <v>3</v>
      </c>
      <c r="K21" t="n">
        <v>0</v>
      </c>
    </row>
    <row r="22">
      <c r="A22" t="inlineStr">
        <is>
          <t>Sweep-extreme stop, 1R</t>
        </is>
      </c>
      <c r="B22" t="n">
        <v>20</v>
      </c>
      <c r="C22" t="n">
        <v>65</v>
      </c>
      <c r="D22" t="n">
        <v>0.5</v>
      </c>
      <c r="E22" t="n">
        <v>-0.77</v>
      </c>
      <c r="F22" t="n">
        <v>0.056</v>
      </c>
      <c r="G22" t="n">
        <v>1.12</v>
      </c>
      <c r="H22" t="n">
        <v>1.21</v>
      </c>
      <c r="I22" t="n">
        <v>-2.44</v>
      </c>
      <c r="J22" t="n">
        <v>3</v>
      </c>
      <c r="K22" t="n">
        <v>0</v>
      </c>
    </row>
    <row r="23">
      <c r="A23" t="inlineStr">
        <is>
          <t>Sweep-extreme stop, PDH/PDL target, skip if &lt; 1R</t>
        </is>
      </c>
      <c r="B23" t="n">
        <v>12</v>
      </c>
      <c r="C23" t="n">
        <v>42</v>
      </c>
      <c r="D23" t="n">
        <v>0.88</v>
      </c>
      <c r="E23" t="n">
        <v>-0.77</v>
      </c>
      <c r="F23" t="n">
        <v>-0.083</v>
      </c>
      <c r="G23" t="n">
        <v>-0.99</v>
      </c>
      <c r="H23" t="n">
        <v>0.82</v>
      </c>
      <c r="I23" t="n">
        <v>-3.09</v>
      </c>
      <c r="J23" t="n">
        <v>3</v>
      </c>
      <c r="K23" t="n">
        <v>8</v>
      </c>
    </row>
    <row r="25">
      <c r="A25" s="14" t="inlineStr">
        <is>
          <t>Full window, no cap: by side</t>
        </is>
      </c>
      <c r="B25" s="14" t="inlineStr">
        <is>
          <t>Trades</t>
        </is>
      </c>
      <c r="C25" s="14" t="inlineStr">
        <is>
          <t>Win %</t>
        </is>
      </c>
      <c r="D25" s="14" t="inlineStr">
        <is>
          <t>Avg win (R)</t>
        </is>
      </c>
      <c r="E25" s="14" t="inlineStr">
        <is>
          <t>Avg loss (R)</t>
        </is>
      </c>
      <c r="F25" s="14" t="inlineStr">
        <is>
          <t>Expectancy (R)</t>
        </is>
      </c>
      <c r="G25" s="14" t="inlineStr">
        <is>
          <t>Total R</t>
        </is>
      </c>
      <c r="H25" s="14" t="inlineStr">
        <is>
          <t>Profit factor</t>
        </is>
      </c>
      <c r="I25" s="14" t="inlineStr">
        <is>
          <t>Max drawdown (R)</t>
        </is>
      </c>
      <c r="J25" s="14" t="inlineStr">
        <is>
          <t>Max consecutive losses</t>
        </is>
      </c>
    </row>
    <row r="26">
      <c r="A26" t="inlineStr">
        <is>
          <t>Long</t>
        </is>
      </c>
      <c r="B26" t="n">
        <v>5</v>
      </c>
      <c r="C26" t="n">
        <v>40</v>
      </c>
      <c r="D26" t="n">
        <v>1.18</v>
      </c>
      <c r="E26" t="n">
        <v>-0.43</v>
      </c>
      <c r="F26" t="n">
        <v>0.21</v>
      </c>
      <c r="G26" t="n">
        <v>1.05</v>
      </c>
      <c r="H26" t="n">
        <v>1.81</v>
      </c>
      <c r="I26" t="n">
        <v>-1.19</v>
      </c>
      <c r="J26" t="n">
        <v>2</v>
      </c>
    </row>
    <row r="27">
      <c r="A27" t="inlineStr">
        <is>
          <t>Short</t>
        </is>
      </c>
      <c r="B27" t="n">
        <v>12</v>
      </c>
      <c r="C27" t="n">
        <v>75</v>
      </c>
      <c r="D27" t="n">
        <v>1.1</v>
      </c>
      <c r="E27" t="n">
        <v>-0.74</v>
      </c>
      <c r="F27" t="n">
        <v>0.643</v>
      </c>
      <c r="G27" t="n">
        <v>7.72</v>
      </c>
      <c r="H27" t="n">
        <v>4.48</v>
      </c>
      <c r="I27" t="n">
        <v>-2.07</v>
      </c>
      <c r="J27" t="n">
        <v>2</v>
      </c>
    </row>
    <row r="29">
      <c r="A29" s="14" t="inlineStr">
        <is>
          <t>Full window, no cap: by exit</t>
        </is>
      </c>
      <c r="B29" s="14" t="inlineStr">
        <is>
          <t>Trades</t>
        </is>
      </c>
      <c r="C29" s="14" t="inlineStr">
        <is>
          <t>Total R</t>
        </is>
      </c>
      <c r="D29" s="14" t="inlineStr">
        <is>
          <t>Avg R</t>
        </is>
      </c>
    </row>
    <row r="30">
      <c r="A30" t="inlineStr">
        <is>
          <t>stop</t>
        </is>
      </c>
      <c r="B30" t="n">
        <v>3</v>
      </c>
      <c r="C30" t="n">
        <v>-3.1</v>
      </c>
      <c r="D30" t="n">
        <v>-1.03</v>
      </c>
    </row>
    <row r="31">
      <c r="A31" t="inlineStr">
        <is>
          <t>target</t>
        </is>
      </c>
      <c r="B31" t="n">
        <v>5</v>
      </c>
      <c r="C31" t="n">
        <v>9.800000000000001</v>
      </c>
      <c r="D31" t="n">
        <v>1.96</v>
      </c>
    </row>
    <row r="32">
      <c r="A32" t="inlineStr">
        <is>
          <t>time 15:10</t>
        </is>
      </c>
      <c r="B32" t="n">
        <v>9</v>
      </c>
      <c r="C32" t="n">
        <v>2.07</v>
      </c>
      <c r="D32" t="n">
        <v>0.23</v>
      </c>
    </row>
    <row r="34">
      <c r="A34" s="14" t="inlineStr">
        <is>
          <t>Trade list</t>
        </is>
      </c>
      <c r="B34" s="14" t="inlineStr">
        <is>
          <t>Side</t>
        </is>
      </c>
      <c r="C34" s="14" t="inlineStr">
        <is>
          <t>Level</t>
        </is>
      </c>
      <c r="D34" s="14" t="inlineStr">
        <is>
          <t>Entry time</t>
        </is>
      </c>
      <c r="E34" s="14" t="inlineStr">
        <is>
          <t>Entry</t>
        </is>
      </c>
      <c r="F34" s="14" t="inlineStr">
        <is>
          <t>Stop</t>
        </is>
      </c>
      <c r="G34" s="14" t="inlineStr">
        <is>
          <t>Risk (pts)</t>
        </is>
      </c>
      <c r="H34" s="14" t="inlineStr">
        <is>
          <t>Exit</t>
        </is>
      </c>
      <c r="I34" s="14" t="inlineStr">
        <is>
          <t>Exit time</t>
        </is>
      </c>
      <c r="J34" s="14" t="inlineStr">
        <is>
          <t>Exit reason</t>
        </is>
      </c>
      <c r="K34" s="14" t="inlineStr">
        <is>
          <t>Points (net)</t>
        </is>
      </c>
      <c r="L34" s="14" t="inlineStr">
        <is>
          <t>R</t>
        </is>
      </c>
      <c r="M34" s="14" t="inlineStr">
        <is>
          <t>Taken under cap 160?</t>
        </is>
      </c>
    </row>
    <row r="35">
      <c r="A35" t="inlineStr">
        <is>
          <t>2026-07-28</t>
        </is>
      </c>
      <c r="B35" t="inlineStr">
        <is>
          <t>Short</t>
        </is>
      </c>
      <c r="C35" t="n">
        <v>24011.6</v>
      </c>
      <c r="D35" t="inlineStr">
        <is>
          <t>10:10</t>
        </is>
      </c>
      <c r="E35" t="n">
        <v>23970.7</v>
      </c>
      <c r="F35" t="n">
        <v>24030.2</v>
      </c>
      <c r="G35" t="n">
        <v>59.5</v>
      </c>
      <c r="H35" t="n">
        <v>24030.2</v>
      </c>
      <c r="I35" t="inlineStr">
        <is>
          <t>10:50</t>
        </is>
      </c>
      <c r="J35" t="inlineStr">
        <is>
          <t>stop</t>
        </is>
      </c>
      <c r="K35" t="n">
        <v>-61.5</v>
      </c>
      <c r="L35" t="n">
        <v>-1.03</v>
      </c>
      <c r="M35" t="inlineStr">
        <is>
          <t>Yes</t>
        </is>
      </c>
    </row>
    <row r="36">
      <c r="A36" t="inlineStr">
        <is>
          <t>2026-07-30</t>
        </is>
      </c>
      <c r="B36" t="inlineStr">
        <is>
          <t>Short</t>
        </is>
      </c>
      <c r="C36" t="n">
        <v>24283.55</v>
      </c>
      <c r="D36" t="inlineStr">
        <is>
          <t>10:15</t>
        </is>
      </c>
      <c r="E36" t="n">
        <v>24243.5</v>
      </c>
      <c r="F36" t="n">
        <v>24290.55</v>
      </c>
      <c r="G36" t="n">
        <v>47.1</v>
      </c>
      <c r="H36" t="n">
        <v>24290.55</v>
      </c>
      <c r="I36" t="inlineStr">
        <is>
          <t>12:35</t>
        </is>
      </c>
      <c r="J36" t="inlineStr">
        <is>
          <t>stop</t>
        </is>
      </c>
      <c r="K36" t="n">
        <v>-49.1</v>
      </c>
      <c r="L36" t="n">
        <v>-1.04</v>
      </c>
      <c r="M36" t="inlineStr">
        <is>
          <t>Yes</t>
        </is>
      </c>
    </row>
    <row r="37">
      <c r="A37" t="inlineStr">
        <is>
          <t>2026-08-14</t>
        </is>
      </c>
      <c r="B37" t="inlineStr">
        <is>
          <t>Long</t>
        </is>
      </c>
      <c r="C37" t="n">
        <v>24311.4</v>
      </c>
      <c r="D37" t="inlineStr">
        <is>
          <t>13:50</t>
        </is>
      </c>
      <c r="E37" t="n">
        <v>24383.7</v>
      </c>
      <c r="F37" t="n">
        <v>24293.35</v>
      </c>
      <c r="G37" t="n">
        <v>90.3</v>
      </c>
      <c r="H37" t="n">
        <v>24371.05</v>
      </c>
      <c r="I37" t="inlineStr">
        <is>
          <t>15:10</t>
        </is>
      </c>
      <c r="J37" t="inlineStr">
        <is>
          <t>time 15:10</t>
        </is>
      </c>
      <c r="K37" t="n">
        <v>-14.6</v>
      </c>
      <c r="L37" t="n">
        <v>-0.16</v>
      </c>
      <c r="M37" t="inlineStr">
        <is>
          <t>Yes</t>
        </is>
      </c>
    </row>
    <row r="38">
      <c r="A38" t="inlineStr">
        <is>
          <t>2026-08-21</t>
        </is>
      </c>
      <c r="B38" t="inlineStr">
        <is>
          <t>Short</t>
        </is>
      </c>
      <c r="C38" t="n">
        <v>24265.15</v>
      </c>
      <c r="D38" t="inlineStr">
        <is>
          <t>12:00</t>
        </is>
      </c>
      <c r="E38" t="n">
        <v>24239.3</v>
      </c>
      <c r="F38" t="n">
        <v>24266.75</v>
      </c>
      <c r="G38" t="n">
        <v>27.4</v>
      </c>
      <c r="H38" t="n">
        <v>24234.05</v>
      </c>
      <c r="I38" t="inlineStr">
        <is>
          <t>15:10</t>
        </is>
      </c>
      <c r="J38" t="inlineStr">
        <is>
          <t>time 15:10</t>
        </is>
      </c>
      <c r="K38" t="n">
        <v>3.2</v>
      </c>
      <c r="L38" t="n">
        <v>0.12</v>
      </c>
      <c r="M38" t="inlineStr">
        <is>
          <t>Yes</t>
        </is>
      </c>
    </row>
    <row r="39">
      <c r="A39" t="inlineStr">
        <is>
          <t>2026-08-24</t>
        </is>
      </c>
      <c r="B39" t="inlineStr">
        <is>
          <t>Short</t>
        </is>
      </c>
      <c r="C39" t="n">
        <v>24284.05</v>
      </c>
      <c r="D39" t="inlineStr">
        <is>
          <t>10:00</t>
        </is>
      </c>
      <c r="E39" t="n">
        <v>24268.2</v>
      </c>
      <c r="F39" t="n">
        <v>24327.85</v>
      </c>
      <c r="G39" t="n">
        <v>59.7</v>
      </c>
      <c r="H39" t="n">
        <v>24148.9</v>
      </c>
      <c r="I39" t="inlineStr">
        <is>
          <t>14:15</t>
        </is>
      </c>
      <c r="J39" t="inlineStr">
        <is>
          <t>target</t>
        </is>
      </c>
      <c r="K39" t="n">
        <v>117.3</v>
      </c>
      <c r="L39" t="n">
        <v>1.97</v>
      </c>
      <c r="M39" t="inlineStr">
        <is>
          <t>Yes</t>
        </is>
      </c>
    </row>
    <row r="40">
      <c r="A40" t="inlineStr">
        <is>
          <t>2026-08-26</t>
        </is>
      </c>
      <c r="B40" t="inlineStr">
        <is>
          <t>Short</t>
        </is>
      </c>
      <c r="C40" t="n">
        <v>24334.55</v>
      </c>
      <c r="D40" t="inlineStr">
        <is>
          <t>11:55</t>
        </is>
      </c>
      <c r="E40" t="n">
        <v>24285.15</v>
      </c>
      <c r="F40" t="n">
        <v>24318.4</v>
      </c>
      <c r="G40" t="n">
        <v>33.2</v>
      </c>
      <c r="H40" t="n">
        <v>24275.35</v>
      </c>
      <c r="I40" t="inlineStr">
        <is>
          <t>15:10</t>
        </is>
      </c>
      <c r="J40" t="inlineStr">
        <is>
          <t>time 15:10</t>
        </is>
      </c>
      <c r="K40" t="n">
        <v>7.8</v>
      </c>
      <c r="L40" t="n">
        <v>0.23</v>
      </c>
      <c r="M40" t="inlineStr">
        <is>
          <t>Yes</t>
        </is>
      </c>
    </row>
    <row r="41">
      <c r="A41" t="inlineStr">
        <is>
          <t>2026-09-01</t>
        </is>
      </c>
      <c r="B41" t="inlineStr">
        <is>
          <t>Short</t>
        </is>
      </c>
      <c r="C41" t="n">
        <v>24128.7</v>
      </c>
      <c r="D41" t="inlineStr">
        <is>
          <t>13:15</t>
        </is>
      </c>
      <c r="E41" t="n">
        <v>24050.2</v>
      </c>
      <c r="F41" t="n">
        <v>24123.7</v>
      </c>
      <c r="G41" t="n">
        <v>73.5</v>
      </c>
      <c r="H41" t="n">
        <v>23969.65</v>
      </c>
      <c r="I41" t="inlineStr">
        <is>
          <t>15:10</t>
        </is>
      </c>
      <c r="J41" t="inlineStr">
        <is>
          <t>time 15:10</t>
        </is>
      </c>
      <c r="K41" t="n">
        <v>78.5</v>
      </c>
      <c r="L41" t="n">
        <v>1.07</v>
      </c>
      <c r="M41" t="inlineStr">
        <is>
          <t>Yes</t>
        </is>
      </c>
    </row>
    <row r="42">
      <c r="A42" t="inlineStr">
        <is>
          <t>2026-09-03</t>
        </is>
      </c>
      <c r="B42" t="inlineStr">
        <is>
          <t>Short</t>
        </is>
      </c>
      <c r="C42" t="n">
        <v>23914.45</v>
      </c>
      <c r="D42" t="inlineStr">
        <is>
          <t>12:35</t>
        </is>
      </c>
      <c r="E42" t="n">
        <v>23909.25</v>
      </c>
      <c r="F42" t="n">
        <v>23983</v>
      </c>
      <c r="G42" t="n">
        <v>73.8</v>
      </c>
      <c r="H42" t="n">
        <v>23887.95</v>
      </c>
      <c r="I42" t="inlineStr">
        <is>
          <t>15:10</t>
        </is>
      </c>
      <c r="J42" t="inlineStr">
        <is>
          <t>time 15:10</t>
        </is>
      </c>
      <c r="K42" t="n">
        <v>19.3</v>
      </c>
      <c r="L42" t="n">
        <v>0.26</v>
      </c>
      <c r="M42" t="inlineStr">
        <is>
          <t>Yes</t>
        </is>
      </c>
    </row>
    <row r="43">
      <c r="A43" t="inlineStr">
        <is>
          <t>2026-09-10</t>
        </is>
      </c>
      <c r="B43" t="inlineStr">
        <is>
          <t>Long</t>
        </is>
      </c>
      <c r="C43" t="n">
        <v>23431.5</v>
      </c>
      <c r="D43" t="inlineStr">
        <is>
          <t>12:15</t>
        </is>
      </c>
      <c r="E43" t="n">
        <v>23458.45</v>
      </c>
      <c r="F43" t="n">
        <v>23400.35</v>
      </c>
      <c r="G43" t="n">
        <v>58.1</v>
      </c>
      <c r="H43" t="n">
        <v>23400.35</v>
      </c>
      <c r="I43" t="inlineStr">
        <is>
          <t>14:45</t>
        </is>
      </c>
      <c r="J43" t="inlineStr">
        <is>
          <t>stop</t>
        </is>
      </c>
      <c r="K43" t="n">
        <v>-60.1</v>
      </c>
      <c r="L43" t="n">
        <v>-1.03</v>
      </c>
      <c r="M43" t="inlineStr">
        <is>
          <t>Yes</t>
        </is>
      </c>
    </row>
    <row r="44">
      <c r="A44" t="inlineStr">
        <is>
          <t>2026-09-11</t>
        </is>
      </c>
      <c r="B44" t="inlineStr">
        <is>
          <t>Long</t>
        </is>
      </c>
      <c r="C44" t="n">
        <v>23380.1</v>
      </c>
      <c r="D44" t="inlineStr">
        <is>
          <t>14:00</t>
        </is>
      </c>
      <c r="E44" t="n">
        <v>23386.15</v>
      </c>
      <c r="F44" t="n">
        <v>23318.75</v>
      </c>
      <c r="G44" t="n">
        <v>67.40000000000001</v>
      </c>
      <c r="H44" t="n">
        <v>23413.95</v>
      </c>
      <c r="I44" t="inlineStr">
        <is>
          <t>15:10</t>
        </is>
      </c>
      <c r="J44" t="inlineStr">
        <is>
          <t>time 15:10</t>
        </is>
      </c>
      <c r="K44" t="n">
        <v>25.8</v>
      </c>
      <c r="L44" t="n">
        <v>0.38</v>
      </c>
      <c r="M44" t="inlineStr">
        <is>
          <t>Yes</t>
        </is>
      </c>
    </row>
    <row r="45">
      <c r="A45" t="inlineStr">
        <is>
          <t>2026-09-15</t>
        </is>
      </c>
      <c r="B45" t="inlineStr">
        <is>
          <t>Short</t>
        </is>
      </c>
      <c r="C45" t="n">
        <v>23448.1</v>
      </c>
      <c r="D45" t="inlineStr">
        <is>
          <t>10:30</t>
        </is>
      </c>
      <c r="E45" t="n">
        <v>23362.65</v>
      </c>
      <c r="F45" t="n">
        <v>23404.3</v>
      </c>
      <c r="G45" t="n">
        <v>41.7</v>
      </c>
      <c r="H45" t="n">
        <v>23279.35</v>
      </c>
      <c r="I45" t="inlineStr">
        <is>
          <t>13:35</t>
        </is>
      </c>
      <c r="J45" t="inlineStr">
        <is>
          <t>target</t>
        </is>
      </c>
      <c r="K45" t="n">
        <v>81.3</v>
      </c>
      <c r="L45" t="n">
        <v>1.95</v>
      </c>
      <c r="M45" t="inlineStr">
        <is>
          <t>Yes</t>
        </is>
      </c>
    </row>
    <row r="46">
      <c r="A46" t="inlineStr">
        <is>
          <t>2026-09-22</t>
        </is>
      </c>
      <c r="B46" t="inlineStr">
        <is>
          <t>Short</t>
        </is>
      </c>
      <c r="C46" t="n">
        <v>23466.8</v>
      </c>
      <c r="D46" t="inlineStr">
        <is>
          <t>10:25</t>
        </is>
      </c>
      <c r="E46" t="n">
        <v>23444.1</v>
      </c>
      <c r="F46" t="n">
        <v>23475.6</v>
      </c>
      <c r="G46" t="n">
        <v>31.5</v>
      </c>
      <c r="H46" t="n">
        <v>23381.1</v>
      </c>
      <c r="I46" t="inlineStr">
        <is>
          <t>10:45</t>
        </is>
      </c>
      <c r="J46" t="inlineStr">
        <is>
          <t>target</t>
        </is>
      </c>
      <c r="K46" t="n">
        <v>61</v>
      </c>
      <c r="L46" t="n">
        <v>1.94</v>
      </c>
      <c r="M46" t="inlineStr">
        <is>
          <t>Yes</t>
        </is>
      </c>
    </row>
    <row r="47">
      <c r="A47" t="inlineStr">
        <is>
          <t>2026-09-25</t>
        </is>
      </c>
      <c r="B47" t="inlineStr">
        <is>
          <t>Long</t>
        </is>
      </c>
      <c r="C47" t="n">
        <v>23046.15</v>
      </c>
      <c r="D47" t="inlineStr">
        <is>
          <t>14:15</t>
        </is>
      </c>
      <c r="E47" t="n">
        <v>23116.3</v>
      </c>
      <c r="F47" t="n">
        <v>23022.25</v>
      </c>
      <c r="G47" t="n">
        <v>94.09999999999999</v>
      </c>
      <c r="H47" t="n">
        <v>23107.9</v>
      </c>
      <c r="I47" t="inlineStr">
        <is>
          <t>15:10</t>
        </is>
      </c>
      <c r="J47" t="inlineStr">
        <is>
          <t>time 15:10</t>
        </is>
      </c>
      <c r="K47" t="n">
        <v>-10.4</v>
      </c>
      <c r="L47" t="n">
        <v>-0.11</v>
      </c>
      <c r="M47" t="inlineStr">
        <is>
          <t>Yes</t>
        </is>
      </c>
    </row>
    <row r="48">
      <c r="A48" t="inlineStr">
        <is>
          <t>2026-09-30</t>
        </is>
      </c>
      <c r="B48" t="inlineStr">
        <is>
          <t>Short</t>
        </is>
      </c>
      <c r="C48" t="n">
        <v>22753.25</v>
      </c>
      <c r="D48" t="inlineStr">
        <is>
          <t>14:25</t>
        </is>
      </c>
      <c r="E48" t="n">
        <v>22664.85</v>
      </c>
      <c r="F48" t="n">
        <v>22755.45</v>
      </c>
      <c r="G48" t="n">
        <v>90.59999999999999</v>
      </c>
      <c r="H48" t="n">
        <v>22624.3</v>
      </c>
      <c r="I48" t="inlineStr">
        <is>
          <t>15:10</t>
        </is>
      </c>
      <c r="J48" t="inlineStr">
        <is>
          <t>time 15:10</t>
        </is>
      </c>
      <c r="K48" t="n">
        <v>38.5</v>
      </c>
      <c r="L48" t="n">
        <v>0.43</v>
      </c>
      <c r="M48" t="inlineStr">
        <is>
          <t>Yes</t>
        </is>
      </c>
    </row>
    <row r="49">
      <c r="A49" s="15" t="inlineStr">
        <is>
          <t>2026-10-05</t>
        </is>
      </c>
      <c r="B49" s="15" t="inlineStr">
        <is>
          <t>Short</t>
        </is>
      </c>
      <c r="C49" s="15" t="n">
        <v>22610.6</v>
      </c>
      <c r="D49" s="15" t="inlineStr">
        <is>
          <t>10:25</t>
        </is>
      </c>
      <c r="E49" s="15" t="n">
        <v>22504.85</v>
      </c>
      <c r="F49" s="15" t="n">
        <v>22626.8</v>
      </c>
      <c r="G49" s="15" t="n">
        <v>122</v>
      </c>
      <c r="H49" s="15" t="n">
        <v>22521.3</v>
      </c>
      <c r="I49" s="15" t="inlineStr">
        <is>
          <t>15:10</t>
        </is>
      </c>
      <c r="J49" s="15" t="inlineStr">
        <is>
          <t>time 15:10</t>
        </is>
      </c>
      <c r="K49" s="15" t="n">
        <v>-18.5</v>
      </c>
      <c r="L49" s="15" t="n">
        <v>-0.15</v>
      </c>
      <c r="M49" s="15" t="inlineStr">
        <is>
          <t>Yes</t>
        </is>
      </c>
    </row>
    <row r="50">
      <c r="A50" s="15" t="inlineStr">
        <is>
          <t>2026-10-12</t>
        </is>
      </c>
      <c r="B50" s="15" t="inlineStr">
        <is>
          <t>Short</t>
        </is>
      </c>
      <c r="C50" s="15" t="n">
        <v>22580.75</v>
      </c>
      <c r="D50" s="15" t="inlineStr">
        <is>
          <t>10:30</t>
        </is>
      </c>
      <c r="E50" s="15" t="n">
        <v>22466.8</v>
      </c>
      <c r="F50" s="15" t="n">
        <v>22538.7</v>
      </c>
      <c r="G50" s="15" t="n">
        <v>71.90000000000001</v>
      </c>
      <c r="H50" s="15" t="n">
        <v>22323</v>
      </c>
      <c r="I50" s="15" t="inlineStr">
        <is>
          <t>14:30</t>
        </is>
      </c>
      <c r="J50" s="15" t="inlineStr">
        <is>
          <t>target</t>
        </is>
      </c>
      <c r="K50" s="15" t="n">
        <v>141.8</v>
      </c>
      <c r="L50" s="15" t="n">
        <v>1.97</v>
      </c>
      <c r="M50" s="15" t="inlineStr">
        <is>
          <t>Yes</t>
        </is>
      </c>
    </row>
    <row r="51">
      <c r="A51" s="15" t="inlineStr">
        <is>
          <t>2026-10-13</t>
        </is>
      </c>
      <c r="B51" s="15" t="inlineStr">
        <is>
          <t>Long</t>
        </is>
      </c>
      <c r="C51" s="15" t="n">
        <v>22304.45</v>
      </c>
      <c r="D51" s="15" t="inlineStr">
        <is>
          <t>12:30</t>
        </is>
      </c>
      <c r="E51" s="15" t="n">
        <v>22537.8</v>
      </c>
      <c r="F51" s="15" t="n">
        <v>22475.8</v>
      </c>
      <c r="G51" s="15" t="n">
        <v>62</v>
      </c>
      <c r="H51" s="15" t="n">
        <v>22661.8</v>
      </c>
      <c r="I51" s="15" t="inlineStr">
        <is>
          <t>14:50</t>
        </is>
      </c>
      <c r="J51" s="15" t="inlineStr">
        <is>
          <t>target</t>
        </is>
      </c>
      <c r="K51" s="15" t="n">
        <v>122</v>
      </c>
      <c r="L51" s="15" t="n">
        <v>1.97</v>
      </c>
      <c r="M51" s="15" t="inlineStr">
        <is>
          <t>Yes</t>
        </is>
      </c>
    </row>
    <row r="53">
      <c r="A53" t="inlineStr">
        <is>
          <t>Grey rows = 1-13 Oct. Sample is small (17 triggers): no conclusions before 30 live trades.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6"/>
  <sheetViews>
    <sheetView tabSelected="0" workbookViewId="0">
      <pane ySplit="1" topLeftCell="A2" activePane="bottomLeft" state="frozen"/>
      <selection pane="bottomLeft" activeCell="A1" sqref="A1"/>
    </sheetView>
  </sheetViews>
  <sheetFormatPr baseColWidth="8" defaultRowHeight="15"/>
  <cols>
    <col width="18" customWidth="1" min="1" max="1"/>
    <col width="110" customWidth="1" min="2" max="2"/>
  </cols>
  <sheetData>
    <row r="1">
      <c r="A1" s="1" t="inlineStr">
        <is>
          <t>Item</t>
        </is>
      </c>
      <c r="B1" s="1" t="inlineStr">
        <is>
          <t>Assessment</t>
        </is>
      </c>
    </row>
    <row r="2">
      <c r="A2" s="2" t="inlineStr">
        <is>
          <t>Data source</t>
        </is>
      </c>
      <c r="B2" s="2" t="inlineStr">
        <is>
          <t>NSE end-of-day data in backend/data/market_eod.db</t>
        </is>
      </c>
    </row>
    <row r="3">
      <c r="A3" s="2" t="inlineStr">
        <is>
          <t>Data timestamp</t>
        </is>
      </c>
      <c r="B3" s="2" t="inlineStr">
        <is>
          <t>13 Oct 2026, 15:30 IST close (index bars and option EOD)</t>
        </is>
      </c>
    </row>
    <row r="4">
      <c r="A4" s="2" t="inlineStr">
        <is>
          <t>Not available</t>
        </is>
      </c>
      <c r="B4" s="2" t="inlineStr">
        <is>
          <t>1H/15m/5m/1m charts, VWAP, opening range, index/futures volume, volume profile, option IV and Greeks</t>
        </is>
      </c>
    </row>
    <row r="5">
      <c r="A5" s="2" t="inlineStr">
        <is>
          <t>Data caveat</t>
        </is>
      </c>
      <c r="B5" s="2" t="inlineStr">
        <is>
          <t>13 Oct close equals the day high exactly (22,721.95). Verify on your broker chart</t>
        </is>
      </c>
    </row>
    <row r="6">
      <c r="A6" s="2" t="inlineStr">
        <is>
          <t>Overall bias</t>
        </is>
      </c>
      <c r="B6" s="2" t="inlineStr">
        <is>
          <t>Weak bearish: downtrend intact, reversal attempt in progress</t>
        </is>
      </c>
    </row>
    <row r="7">
      <c r="A7" s="2" t="inlineStr">
        <is>
          <t>Trend</t>
        </is>
      </c>
      <c r="B7" s="2" t="inlineStr">
        <is>
          <t>Monthly, weekly and daily bearish (lower highs and lower lows). No daily CHoCH until a close above 22,776</t>
        </is>
      </c>
    </row>
    <row r="8">
      <c r="A8" s="2" t="inlineStr">
        <is>
          <t>Volatility</t>
        </is>
      </c>
      <c r="B8" s="2" t="inlineStr">
        <is>
          <t>Elevated. VIX 14.12 (67th percentile, 1 year), ATR(14) 266, Bollinger width 81st percentile</t>
        </is>
      </c>
    </row>
    <row r="9">
      <c r="A9" s="2" t="inlineStr">
        <is>
          <t>Key support</t>
        </is>
      </c>
      <c r="B9" s="2" t="inlineStr">
        <is>
          <t>22,480-22,600 (12 Oct order block + 22,500 put wall), 22,288, 22,180-22,217</t>
        </is>
      </c>
    </row>
    <row r="10">
      <c r="A10" s="2" t="inlineStr">
        <is>
          <t>Key resistance</t>
        </is>
      </c>
      <c r="B10" s="2" t="inlineStr">
        <is>
          <t>22,776-22,809 (buy-side liquidity), 22,809-23,021 (bearish FVG, EMA20 22,876), 23,021-23,163 (order block)</t>
        </is>
      </c>
    </row>
    <row r="11">
      <c r="A11" s="2" t="inlineStr">
        <is>
          <t>Final decision</t>
        </is>
      </c>
      <c r="B11" s="2" t="inlineStr">
        <is>
          <t>WAIT FOR CONFIRMATION (all three strategies)</t>
        </is>
      </c>
    </row>
    <row r="12">
      <c r="A12" s="2" t="inlineStr">
        <is>
          <t>Ranking</t>
        </is>
      </c>
      <c r="B12" s="2" t="inlineStr">
        <is>
          <t>B bearish raid (best on paper, aligned with the higher timeframes) &gt; A bullish pullback &gt; C range (default state)</t>
        </is>
      </c>
    </row>
    <row r="13">
      <c r="A13" s="2" t="inlineStr">
        <is>
          <t>Risk 1</t>
        </is>
      </c>
      <c r="B13" s="2" t="inlineStr">
        <is>
          <t>Triggers need 15m/5m structure and volume that this data cannot show. Liquidity sweeps are easy to see in hindsight</t>
        </is>
      </c>
    </row>
    <row r="14">
      <c r="A14" s="2" t="inlineStr">
        <is>
          <t>Risk 2</t>
        </is>
      </c>
      <c r="B14" s="2" t="inlineStr">
        <is>
          <t>A fights the trend (the 6 Oct rally failed). B may be shorting the start of a bottom; the raid could reach 23,021-23,163</t>
        </is>
      </c>
    </row>
    <row r="15">
      <c r="A15" s="2" t="inlineStr">
        <is>
          <t>Risk 3</t>
        </is>
      </c>
      <c r="B15" s="2" t="inlineStr">
        <is>
          <t>The 19 Oct expiry may pin price near 22,700 (max pain + straddle OI), which can whipsaw both A and B stops</t>
        </is>
      </c>
    </row>
    <row r="16">
      <c r="A16" s="2" t="inlineStr">
        <is>
          <t>Opinion</t>
        </is>
      </c>
      <c r="B16" s="2" t="inlineStr">
        <is>
          <t>"Liquidity concept" is a framework, not a strategy. Define the sweep rules, confirmation, stop and target, then backtest before trading it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6"/>
  <sheetViews>
    <sheetView tabSelected="0" workbookViewId="0">
      <pane ySplit="1" topLeftCell="A2" activePane="bottomLeft" state="frozen"/>
      <selection pane="bottomLeft" activeCell="A1" sqref="A1"/>
    </sheetView>
  </sheetViews>
  <sheetFormatPr baseColWidth="8" defaultRowHeight="15"/>
  <cols>
    <col width="30" customWidth="1" min="1" max="1"/>
    <col width="40" customWidth="1" min="2" max="2"/>
    <col width="80" customWidth="1" min="3" max="3"/>
  </cols>
  <sheetData>
    <row r="1">
      <c r="A1" s="1" t="inlineStr">
        <is>
          <t>Item</t>
        </is>
      </c>
      <c r="B1" s="1" t="inlineStr">
        <is>
          <t>Value</t>
        </is>
      </c>
      <c r="C1" s="1" t="inlineStr">
        <is>
          <t>Fact / Interpretation</t>
        </is>
      </c>
    </row>
    <row r="2">
      <c r="A2" s="2" t="inlineStr">
        <is>
          <t>Previous day (12 Oct) high</t>
        </is>
      </c>
      <c r="B2" s="2" t="n">
        <v>22651.1</v>
      </c>
      <c r="C2" s="2" t="inlineStr">
        <is>
          <t>Fact</t>
        </is>
      </c>
    </row>
    <row r="3">
      <c r="A3" s="2" t="inlineStr">
        <is>
          <t>Previous day low</t>
        </is>
      </c>
      <c r="B3" s="2" t="n">
        <v>22304.45</v>
      </c>
      <c r="C3" s="2" t="inlineStr">
        <is>
          <t>Fact</t>
        </is>
      </c>
    </row>
    <row r="4">
      <c r="A4" s="2" t="inlineStr">
        <is>
          <t>Previous day close</t>
        </is>
      </c>
      <c r="B4" s="2" t="n">
        <v>22363.35</v>
      </c>
      <c r="C4" s="2" t="inlineStr">
        <is>
          <t>Fact</t>
        </is>
      </c>
    </row>
    <row r="5">
      <c r="A5" s="2" t="inlineStr">
        <is>
          <t>Today (13 Oct) open</t>
        </is>
      </c>
      <c r="B5" s="2" t="n">
        <v>22364.15</v>
      </c>
      <c r="C5" s="2" t="inlineStr">
        <is>
          <t>Fact</t>
        </is>
      </c>
    </row>
    <row r="6">
      <c r="A6" s="2" t="inlineStr">
        <is>
          <t>Today high</t>
        </is>
      </c>
      <c r="B6" s="2" t="n">
        <v>22721.95</v>
      </c>
      <c r="C6" s="2" t="inlineStr">
        <is>
          <t>Fact</t>
        </is>
      </c>
    </row>
    <row r="7">
      <c r="A7" s="2" t="inlineStr">
        <is>
          <t>Today low</t>
        </is>
      </c>
      <c r="B7" s="2" t="n">
        <v>22288.45</v>
      </c>
      <c r="C7" s="2" t="inlineStr">
        <is>
          <t>Fact</t>
        </is>
      </c>
    </row>
    <row r="8">
      <c r="A8" s="2" t="inlineStr">
        <is>
          <t>Today close</t>
        </is>
      </c>
      <c r="B8" s="2" t="n">
        <v>22721.95</v>
      </c>
      <c r="C8" s="2" t="inlineStr">
        <is>
          <t>Fact (verify)</t>
        </is>
      </c>
    </row>
    <row r="9">
      <c r="A9" s="2" t="inlineStr">
        <is>
          <t>Opening type</t>
        </is>
      </c>
      <c r="B9" s="2" t="inlineStr">
        <is>
          <t>Flat (+0.8 pts)</t>
        </is>
      </c>
      <c r="C9" s="2" t="inlineStr">
        <is>
          <t>Fact</t>
        </is>
      </c>
    </row>
    <row r="10">
      <c r="A10" s="2" t="inlineStr">
        <is>
          <t>Previous week high (5-9 Oct)</t>
        </is>
      </c>
      <c r="B10" s="2" t="n">
        <v>22776.1</v>
      </c>
      <c r="C10" s="2" t="inlineStr">
        <is>
          <t>Fact</t>
        </is>
      </c>
    </row>
    <row r="11">
      <c r="A11" s="2" t="inlineStr">
        <is>
          <t>Previous week low</t>
        </is>
      </c>
      <c r="B11" s="2" t="n">
        <v>22179.9</v>
      </c>
      <c r="C11" s="2" t="inlineStr">
        <is>
          <t>Fact</t>
        </is>
      </c>
    </row>
    <row r="12">
      <c r="A12" s="2" t="inlineStr">
        <is>
          <t>October high / low (so far)</t>
        </is>
      </c>
      <c r="B12" s="2" t="inlineStr">
        <is>
          <t>22,776 / 22,180</t>
        </is>
      </c>
      <c r="C12" s="2" t="inlineStr">
        <is>
          <t>Fact</t>
        </is>
      </c>
    </row>
    <row r="13">
      <c r="A13" s="2" t="inlineStr">
        <is>
          <t>September high / low</t>
        </is>
      </c>
      <c r="B13" s="2" t="inlineStr">
        <is>
          <t>24,143 / 22,570</t>
        </is>
      </c>
      <c r="C13" s="2" t="inlineStr">
        <is>
          <t>Fact</t>
        </is>
      </c>
    </row>
    <row r="14">
      <c r="A14" s="2" t="inlineStr">
        <is>
          <t>52-week high (all-time high)</t>
        </is>
      </c>
      <c r="B14" s="2" t="inlineStr">
        <is>
          <t>26,373 (5 Jan 2026)</t>
        </is>
      </c>
      <c r="C14" s="2" t="inlineStr">
        <is>
          <t>Fact</t>
        </is>
      </c>
    </row>
    <row r="15">
      <c r="A15" s="2" t="inlineStr">
        <is>
          <t>52-week low</t>
        </is>
      </c>
      <c r="B15" s="2" t="inlineStr">
        <is>
          <t>22,180 (8 Oct 2026)</t>
        </is>
      </c>
      <c r="C15" s="2" t="inlineStr">
        <is>
          <t>Fact</t>
        </is>
      </c>
    </row>
    <row r="16">
      <c r="A16" s="2" t="inlineStr">
        <is>
          <t>India VIX</t>
        </is>
      </c>
      <c r="B16" s="2" t="n">
        <v>14.12</v>
      </c>
      <c r="C16" s="2" t="inlineStr">
        <is>
          <t>Fact</t>
        </is>
      </c>
    </row>
    <row r="17">
      <c r="A17" s="2" t="inlineStr">
        <is>
          <t>IV rank</t>
        </is>
      </c>
      <c r="B17" s="2" t="n">
        <v>26.5</v>
      </c>
      <c r="C17" s="2" t="inlineStr">
        <is>
          <t>Fact (stored)</t>
        </is>
      </c>
    </row>
    <row r="18">
      <c r="A18" s="2" t="inlineStr">
        <is>
          <t>ATR(14) daily</t>
        </is>
      </c>
      <c r="B18" s="2" t="n">
        <v>266</v>
      </c>
      <c r="C18" s="2" t="inlineStr">
        <is>
          <t>Calculated</t>
        </is>
      </c>
    </row>
    <row r="19">
      <c r="A19" s="2" t="inlineStr">
        <is>
          <t>EMA 9 / 20 / 50 / 200</t>
        </is>
      </c>
      <c r="B19" s="2" t="inlineStr">
        <is>
          <t>22,609 / 22,876 / 23,363 / 24,047</t>
        </is>
      </c>
      <c r="C19" s="2" t="inlineStr">
        <is>
          <t>Calculated</t>
        </is>
      </c>
    </row>
    <row r="20">
      <c r="A20" s="2" t="inlineStr">
        <is>
          <t>RSI 14</t>
        </is>
      </c>
      <c r="B20" s="2" t="n">
        <v>43.4</v>
      </c>
      <c r="C20" s="2" t="inlineStr">
        <is>
          <t>Calculated. Bullish divergence: 8 Oct RSI 27.6 vs 1 Oct 22.6 on a lower low</t>
        </is>
      </c>
    </row>
    <row r="21">
      <c r="A21" s="2" t="inlineStr">
        <is>
          <t>MACD histogram</t>
        </is>
      </c>
      <c r="B21" s="2" t="n">
        <v>5</v>
      </c>
      <c r="C21" s="2" t="inlineStr">
        <is>
          <t>Calculated. First positive reading in this decline</t>
        </is>
      </c>
    </row>
    <row r="22">
      <c r="A22" s="2" t="inlineStr">
        <is>
          <t>ADX / +DI / -DI</t>
        </is>
      </c>
      <c r="B22" s="2" t="inlineStr">
        <is>
          <t>44 / 12 / 31</t>
        </is>
      </c>
      <c r="C22" s="2" t="inlineStr">
        <is>
          <t>Calculated. Strong downtrend, -DI falling from 45</t>
        </is>
      </c>
    </row>
    <row r="23">
      <c r="A23" s="2" t="inlineStr">
        <is>
          <t>Bollinger Bands (20,2)</t>
        </is>
      </c>
      <c r="B23" s="2" t="inlineStr">
        <is>
          <t>22,135 - 23,631</t>
        </is>
      </c>
      <c r="C23" s="2" t="inlineStr">
        <is>
          <t>Calculated</t>
        </is>
      </c>
    </row>
    <row r="24">
      <c r="A24" s="2" t="inlineStr">
        <is>
          <t>Classification</t>
        </is>
      </c>
      <c r="B24" s="2" t="inlineStr">
        <is>
          <t>Weak bearish</t>
        </is>
      </c>
      <c r="C24" s="2" t="inlineStr">
        <is>
          <t>Interpretation</t>
        </is>
      </c>
    </row>
    <row r="25">
      <c r="A25" s="2" t="inlineStr">
        <is>
          <t>Bearish evidence</t>
        </is>
      </c>
      <c r="B25" s="2" t="inlineStr">
        <is>
          <t>Monthly lower highs since Jan; Sep closed -1,458 near its low; daily highs 23,593 &gt; 23,489 &gt; 22,776 and lows 23,116 &gt; 22,217 &gt; 22,180; below EMA 20/50/200; ADX 44 with -DI dominant</t>
        </is>
      </c>
      <c r="C25" s="2" t="inlineStr">
        <is>
          <t>Interpretation</t>
        </is>
      </c>
    </row>
    <row r="26">
      <c r="A26" s="2" t="inlineStr">
        <is>
          <t>Bullish evidence</t>
        </is>
      </c>
      <c r="B26" s="2" t="inlineStr">
        <is>
          <t>8 Oct low swept the April low (22,183) by 3 pts; 13 Oct bullish outside day closed at the high; RSI divergence; MACD histogram turned positive</t>
        </is>
      </c>
      <c r="C26" s="2" t="inlineStr">
        <is>
          <t>Interpretation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9"/>
  <sheetViews>
    <sheetView tabSelected="0" workbookViewId="0">
      <pane ySplit="1" topLeftCell="A2" activePane="bottomLeft" state="frozen"/>
      <selection pane="bottomLeft" activeCell="A1" sqref="A1"/>
    </sheetView>
  </sheetViews>
  <sheetFormatPr baseColWidth="8" defaultRowHeight="15"/>
  <cols>
    <col width="14" customWidth="1" min="1" max="1"/>
    <col width="28" customWidth="1" min="2" max="2"/>
    <col width="100" customWidth="1" min="3" max="3"/>
  </cols>
  <sheetData>
    <row r="1">
      <c r="A1" s="1" t="inlineStr">
        <is>
          <t>Timeframe</t>
        </is>
      </c>
      <c r="B1" s="1" t="inlineStr">
        <is>
          <t>Trend</t>
        </is>
      </c>
      <c r="C1" s="1" t="inlineStr">
        <is>
          <t>Key evidence</t>
        </is>
      </c>
    </row>
    <row r="2">
      <c r="A2" s="2" t="inlineStr">
        <is>
          <t>Monthly</t>
        </is>
      </c>
      <c r="B2" s="2" t="inlineStr">
        <is>
          <t>Bearish</t>
        </is>
      </c>
      <c r="C2" s="2" t="inlineStr">
        <is>
          <t>Below 12/20-month EMA (~23,815-23,840). Base at 22,180-22,284 (Mar, Apr, Oct lows)</t>
        </is>
      </c>
    </row>
    <row r="3">
      <c r="A3" s="2" t="inlineStr">
        <is>
          <t>Weekly</t>
        </is>
      </c>
      <c r="B3" s="2" t="inlineStr">
        <is>
          <t>Bearish</t>
        </is>
      </c>
      <c r="C3" s="2" t="inlineStr">
        <is>
          <t>Below 20-week EMA 23,576 and 50-week EMA 24,029. Four straight lower weekly highs</t>
        </is>
      </c>
    </row>
    <row r="4">
      <c r="A4" s="2" t="inlineStr">
        <is>
          <t>Daily</t>
        </is>
      </c>
      <c r="B4" s="2" t="inlineStr">
        <is>
          <t>Bearish, early reversal signs</t>
        </is>
      </c>
      <c r="C4" s="2" t="inlineStr">
        <is>
          <t>No CHoCH yet; needs a daily close above 22,776. Momentum improving</t>
        </is>
      </c>
    </row>
    <row r="5">
      <c r="A5" s="2" t="inlineStr">
        <is>
          <t>1 Hour</t>
        </is>
      </c>
      <c r="B5" s="2" t="inlineStr">
        <is>
          <t>N/A</t>
        </is>
      </c>
      <c r="C5" s="2" t="inlineStr">
        <is>
          <t>No intraday data</t>
        </is>
      </c>
    </row>
    <row r="6">
      <c r="A6" s="2" t="inlineStr">
        <is>
          <t>15 Minutes</t>
        </is>
      </c>
      <c r="B6" s="2" t="inlineStr">
        <is>
          <t>N/A</t>
        </is>
      </c>
      <c r="C6" s="2" t="inlineStr">
        <is>
          <t>No intraday data: this is your setup timeframe</t>
        </is>
      </c>
    </row>
    <row r="7">
      <c r="A7" s="2" t="inlineStr">
        <is>
          <t>5 Minutes</t>
        </is>
      </c>
      <c r="B7" s="2" t="inlineStr">
        <is>
          <t>N/A</t>
        </is>
      </c>
      <c r="C7" s="2" t="inlineStr">
        <is>
          <t>No intraday data: this is your entry timeframe</t>
        </is>
      </c>
    </row>
    <row r="8">
      <c r="A8" s="2" t="inlineStr">
        <is>
          <t>1 Minute</t>
        </is>
      </c>
      <c r="B8" s="2" t="inlineStr">
        <is>
          <t>N/A</t>
        </is>
      </c>
      <c r="C8" s="2" t="inlineStr">
        <is>
          <t>No intraday data</t>
        </is>
      </c>
    </row>
    <row r="9">
      <c r="A9" s="2" t="inlineStr">
        <is>
          <t>Conflict</t>
        </is>
      </c>
      <c r="B9" s="2" t="inlineStr"/>
      <c r="C9" s="2" t="inlineStr">
        <is>
          <t>Daily momentum is improving but every higher timeframe is bearish. A lower-timeframe bullish signal does not override it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8"/>
  <sheetViews>
    <sheetView tabSelected="0" workbookViewId="0">
      <pane ySplit="1" topLeftCell="A2" activePane="bottomLeft" state="frozen"/>
      <selection pane="bottomLeft" activeCell="A1" sqref="A1"/>
    </sheetView>
  </sheetViews>
  <sheetFormatPr baseColWidth="8" defaultRowHeight="15"/>
  <cols>
    <col width="36" customWidth="1" min="1" max="1"/>
    <col width="10" customWidth="1" min="2" max="2"/>
    <col width="10" customWidth="1" min="3" max="3"/>
    <col width="60" customWidth="1" min="4" max="4"/>
    <col width="16" customWidth="1" min="5" max="5"/>
    <col width="28" customWidth="1" min="6" max="6"/>
  </cols>
  <sheetData>
    <row r="1">
      <c r="A1" s="1" t="inlineStr">
        <is>
          <t>Zone</t>
        </is>
      </c>
      <c r="B1" s="1" t="inlineStr">
        <is>
          <t>From</t>
        </is>
      </c>
      <c r="C1" s="1" t="inlineStr">
        <is>
          <t>To</t>
        </is>
      </c>
      <c r="D1" s="1" t="inlineStr">
        <is>
          <t>Why it matters</t>
        </is>
      </c>
      <c r="E1" s="1" t="inlineStr">
        <is>
          <t>Status</t>
        </is>
      </c>
      <c r="F1" s="1" t="inlineStr">
        <is>
          <t>Invalidated by</t>
        </is>
      </c>
    </row>
    <row r="2">
      <c r="A2" s="2" t="inlineStr">
        <is>
          <t>Bearish order block (25 Sep candle)</t>
        </is>
      </c>
      <c r="B2" s="2" t="n">
        <v>23021</v>
      </c>
      <c r="C2" s="2" t="n">
        <v>23163</v>
      </c>
      <c r="D2" s="2" t="inlineStr">
        <is>
          <t>Last up-candle before the 28 Sep displacement down</t>
        </is>
      </c>
      <c r="E2" s="2" t="inlineStr">
        <is>
          <t>Speculative</t>
        </is>
      </c>
      <c r="F2" s="2" t="inlineStr">
        <is>
          <t>Daily close above 23,163</t>
        </is>
      </c>
    </row>
    <row r="3">
      <c r="A3" s="2" t="inlineStr">
        <is>
          <t>Bearish FVG (unfilled part)</t>
        </is>
      </c>
      <c r="B3" s="2" t="n">
        <v>22809</v>
      </c>
      <c r="C3" s="2" t="n">
        <v>23021</v>
      </c>
      <c r="D3" s="2" t="inlineStr">
        <is>
          <t>Gap between 25 Sep low and 29 Sep high; EMA20 22,876 inside</t>
        </is>
      </c>
      <c r="E3" s="2" t="inlineStr">
        <is>
          <t>Confirmed gap</t>
        </is>
      </c>
      <c r="F3" s="2" t="inlineStr">
        <is>
          <t>Acceptance above 23,021</t>
        </is>
      </c>
    </row>
    <row r="4">
      <c r="A4" s="2" t="inlineStr">
        <is>
          <t>Buy-side liquidity</t>
        </is>
      </c>
      <c r="B4" s="2" t="n">
        <v>22776</v>
      </c>
      <c r="C4" s="2" t="n">
        <v>22809</v>
      </c>
      <c r="D4" s="2" t="inlineStr">
        <is>
          <t>Stops above 6 Oct swing high and 30 Sep high; nearest pool</t>
        </is>
      </c>
      <c r="E4" s="2" t="inlineStr">
        <is>
          <t>Confirmed level</t>
        </is>
      </c>
      <c r="F4" s="2" t="inlineStr">
        <is>
          <t>Already swept once taken</t>
        </is>
      </c>
    </row>
    <row r="5">
      <c r="A5" s="2" t="inlineStr">
        <is>
          <t>Range midpoint (23,489-22,180)</t>
        </is>
      </c>
      <c r="B5" s="2" t="n">
        <v>22834</v>
      </c>
      <c r="C5" s="2" t="n">
        <v>22834</v>
      </c>
      <c r="D5" s="2" t="inlineStr">
        <is>
          <t>Price is just below it, in the discount half</t>
        </is>
      </c>
      <c r="E5" s="2" t="inlineStr">
        <is>
          <t>Calculated</t>
        </is>
      </c>
      <c r="F5" s="2" t="inlineStr">
        <is>
          <t>-</t>
        </is>
      </c>
    </row>
    <row r="6">
      <c r="A6" s="2" t="inlineStr">
        <is>
          <t>Bullish order block (12 Oct candle)</t>
        </is>
      </c>
      <c r="B6" s="2" t="n">
        <v>22363</v>
      </c>
      <c r="C6" s="2" t="n">
        <v>22593</v>
      </c>
      <c r="D6" s="2" t="inlineStr">
        <is>
          <t>Last down-candle before the 13 Oct surge; midpoint 22,478; 22,500 put wall</t>
        </is>
      </c>
      <c r="E6" s="2" t="inlineStr">
        <is>
          <t>Speculative</t>
        </is>
      </c>
      <c r="F6" s="2" t="inlineStr">
        <is>
          <t>15m close below 22,430</t>
        </is>
      </c>
    </row>
    <row r="7">
      <c r="A7" s="2" t="inlineStr">
        <is>
          <t>Sell-side liquidity, taken</t>
        </is>
      </c>
      <c r="B7" s="2" t="n">
        <v>22295</v>
      </c>
      <c r="C7" s="2" t="n">
        <v>22304</v>
      </c>
      <c r="D7" s="2" t="inlineStr">
        <is>
          <t>Swept on 13 Oct to 22,288, then reversed</t>
        </is>
      </c>
      <c r="E7" s="2" t="inlineStr">
        <is>
          <t>Confirmed sweep</t>
        </is>
      </c>
      <c r="F7" s="2" t="inlineStr">
        <is>
          <t>Daily close below 22,288</t>
        </is>
      </c>
    </row>
    <row r="8">
      <c r="A8" s="2" t="inlineStr">
        <is>
          <t>Sell-side liquidity, remaining</t>
        </is>
      </c>
      <c r="B8" s="2" t="n">
        <v>22180</v>
      </c>
      <c r="C8" s="2" t="n">
        <v>22217</v>
      </c>
      <c r="D8" s="2" t="inlineStr">
        <is>
          <t>1 Oct and 8 Oct lows; nothing tested below in 52 weeks</t>
        </is>
      </c>
      <c r="E8" s="2" t="inlineStr">
        <is>
          <t>Confirmed level</t>
        </is>
      </c>
      <c r="F8" s="2" t="inlineStr">
        <is>
          <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3"/>
  <sheetViews>
    <sheetView tabSelected="0" workbookViewId="0">
      <pane ySplit="1" topLeftCell="A2" activePane="bottomLeft" state="frozen"/>
      <selection pane="bottomLeft" activeCell="A1" sqref="A1"/>
    </sheetView>
  </sheetViews>
  <sheetFormatPr baseColWidth="8" defaultRowHeight="15"/>
  <cols>
    <col width="20" customWidth="1" min="1" max="1"/>
    <col width="45" customWidth="1" min="2" max="2"/>
    <col width="45" customWidth="1" min="3" max="3"/>
    <col width="45" customWidth="1" min="4" max="4"/>
  </cols>
  <sheetData>
    <row r="1">
      <c r="A1" s="1" t="inlineStr">
        <is>
          <t>Item</t>
        </is>
      </c>
      <c r="B1" s="1" t="inlineStr">
        <is>
          <t>A: Bullish sweep &amp; reclaim</t>
        </is>
      </c>
      <c r="C1" s="1" t="inlineStr">
        <is>
          <t>B: Bearish raid into premium</t>
        </is>
      </c>
      <c r="D1" s="1" t="inlineStr">
        <is>
          <t>C: Sideways range</t>
        </is>
      </c>
    </row>
    <row r="2">
      <c r="A2" s="2" t="inlineStr">
        <is>
          <t>Alignment</t>
        </is>
      </c>
      <c r="B2" s="2" t="inlineStr">
        <is>
          <t>Counter-trend</t>
        </is>
      </c>
      <c r="C2" s="2" t="inlineStr">
        <is>
          <t>With the higher-timeframe trend</t>
        </is>
      </c>
      <c r="D2" s="2" t="inlineStr">
        <is>
          <t>Default until a trigger</t>
        </is>
      </c>
    </row>
    <row r="3">
      <c r="A3" s="2" t="inlineStr">
        <is>
          <t>Confirmation</t>
        </is>
      </c>
      <c r="B3" s="2" t="inlineStr">
        <is>
          <t>Pullback into 22,480-22,600 holds; 15m bullish CHoCH; 5m back above VWAP. No buying a gap-up above 22,776</t>
        </is>
      </c>
      <c r="C3" s="2" t="inlineStr">
        <is>
          <t>Sweep above 22,809, then 15m close back below 22,776; 5m bearish CHoCH; below VWAP; 22,800/23,000 call OI rising</t>
        </is>
      </c>
      <c r="D3" s="2" t="inlineStr">
        <is>
          <t>Only trade a sweep of a range edge followed by a reclaim</t>
        </is>
      </c>
    </row>
    <row r="4">
      <c r="A4" s="2" t="inlineStr">
        <is>
          <t>Entry zone</t>
        </is>
      </c>
      <c r="B4" s="2" t="inlineStr">
        <is>
          <t>22,500-22,600</t>
        </is>
      </c>
      <c r="C4" s="2" t="inlineStr">
        <is>
          <t>22,760-22,850 on the rejection</t>
        </is>
      </c>
      <c r="D4" s="2" t="inlineStr">
        <is>
          <t>Range edges only</t>
        </is>
      </c>
    </row>
    <row r="5">
      <c r="A5" s="2" t="inlineStr">
        <is>
          <t>Stop-loss</t>
        </is>
      </c>
      <c r="B5" s="2" t="inlineStr">
        <is>
          <t>22,430</t>
        </is>
      </c>
      <c r="C5" s="2" t="inlineStr">
        <is>
          <t>15-20 pts above the raid high; skip if above 22,960</t>
        </is>
      </c>
      <c r="D5" s="2" t="inlineStr">
        <is>
          <t>Opposite side of the swept edge</t>
        </is>
      </c>
    </row>
    <row r="6">
      <c r="A6" s="2" t="inlineStr">
        <is>
          <t>Target 1</t>
        </is>
      </c>
      <c r="B6" s="2" t="inlineStr">
        <is>
          <t>22,770</t>
        </is>
      </c>
      <c r="C6" s="2" t="inlineStr">
        <is>
          <t>22,520</t>
        </is>
      </c>
      <c r="D6" s="2" t="inlineStr">
        <is>
          <t>~22,650 (range middle)</t>
        </is>
      </c>
    </row>
    <row r="7">
      <c r="A7" s="2" t="inlineStr">
        <is>
          <t>Target 2</t>
        </is>
      </c>
      <c r="B7" s="2" t="inlineStr">
        <is>
          <t>22,990</t>
        </is>
      </c>
      <c r="C7" s="2" t="inlineStr">
        <is>
          <t>22,310</t>
        </is>
      </c>
      <c r="D7" s="2" t="inlineStr">
        <is>
          <t>Opposite edge</t>
        </is>
      </c>
    </row>
    <row r="8">
      <c r="A8" s="2" t="inlineStr">
        <is>
          <t>Example R:R</t>
        </is>
      </c>
      <c r="B8" s="2" t="inlineStr">
        <is>
          <t>Entry 22,550, risk 120: 1.8R to T1, 3.7R to T2</t>
        </is>
      </c>
      <c r="C8" s="2" t="inlineStr">
        <is>
          <t>Entry 22,800, risk 160: 1.75R to T1, 3.1R to T2</t>
        </is>
      </c>
      <c r="D8" s="2" t="inlineStr">
        <is>
          <t>~1.0-1.5R (weak)</t>
        </is>
      </c>
    </row>
    <row r="9">
      <c r="A9" s="2" t="inlineStr">
        <is>
          <t>Invalidation</t>
        </is>
      </c>
      <c r="B9" s="2" t="inlineStr">
        <is>
          <t>15m close below 22,430; daily close below 22,288 kills the thesis</t>
        </is>
      </c>
      <c r="C9" s="2" t="inlineStr">
        <is>
          <t>15m acceptance above 23,021; daily close above 22,809 is a daily CHoCH</t>
        </is>
      </c>
      <c r="D9" s="2" t="inlineStr">
        <is>
          <t>Acceptance outside 22,480-22,810</t>
        </is>
      </c>
    </row>
    <row r="10">
      <c r="A10" s="2" t="inlineStr">
        <is>
          <t>Expected range</t>
        </is>
      </c>
      <c r="B10" s="2" t="inlineStr">
        <is>
          <t>-</t>
        </is>
      </c>
      <c r="C10" s="2" t="inlineStr">
        <is>
          <t>-</t>
        </is>
      </c>
      <c r="D10" s="2" t="inlineStr">
        <is>
          <t>22,480-22,810 (straddle implies 22,410-23,035 by 19 Oct)</t>
        </is>
      </c>
    </row>
    <row r="11">
      <c r="A11" s="2" t="inlineStr">
        <is>
          <t>No-trade conditions</t>
        </is>
      </c>
      <c r="B11" s="2" t="inlineStr">
        <is>
          <t>Price already above 22,776</t>
        </is>
      </c>
      <c r="C11" s="2" t="inlineStr">
        <is>
          <t>Raid high above 22,960 (stop too wide)</t>
        </is>
      </c>
      <c r="D11" s="2" t="inlineStr">
        <is>
          <t>Price at 22,600-22,700; first 15 min; 19 Oct afternoon option buying; gap &gt; ~130 pts without retest; VIX &gt; 16</t>
        </is>
      </c>
    </row>
    <row r="12">
      <c r="A12" s="2" t="inlineStr">
        <is>
          <t>Breakout triggers</t>
        </is>
      </c>
      <c r="B12" s="2" t="inlineStr">
        <is>
          <t>-</t>
        </is>
      </c>
      <c r="C12" s="2" t="inlineStr">
        <is>
          <t>Secondary short: two 15m closes below 22,288 (weaker: sells into a swept level, 22,000 put OI 5.4M)</t>
        </is>
      </c>
      <c r="D12" s="2" t="inlineStr">
        <is>
          <t>Up: 15m acceptance above 22,810 with call unwinding -&gt; 23,021/23,163. Down: acceptance below 22,480 with put unwinding -&gt; 22,300</t>
        </is>
      </c>
    </row>
    <row r="13">
      <c r="A13" s="2" t="inlineStr">
        <is>
          <t>Decision</t>
        </is>
      </c>
      <c r="B13" s="2" t="inlineStr">
        <is>
          <t>WAIT FOR CONFIRMATION</t>
        </is>
      </c>
      <c r="C13" s="2" t="inlineStr">
        <is>
          <t>WAIT FOR CONFIRMATION</t>
        </is>
      </c>
      <c r="D13" s="2" t="inlineStr">
        <is>
          <t>WAIT FOR CONFIRMATION</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1"/>
  <sheetViews>
    <sheetView tabSelected="0" workbookViewId="0">
      <pane ySplit="1" topLeftCell="A2" activePane="bottomLeft" state="frozen"/>
      <selection pane="bottomLeft" activeCell="A1" sqref="A1"/>
    </sheetView>
  </sheetViews>
  <sheetFormatPr baseColWidth="8" defaultRowHeight="15"/>
  <cols>
    <col width="28" customWidth="1" min="1" max="1"/>
    <col width="10" customWidth="1" min="2" max="2"/>
    <col width="10" customWidth="1" min="3" max="3"/>
    <col width="10" customWidth="1" min="4" max="4"/>
    <col width="60" customWidth="1" min="5" max="5"/>
  </cols>
  <sheetData>
    <row r="1">
      <c r="A1" s="1" t="inlineStr">
        <is>
          <t>Parameter</t>
        </is>
      </c>
      <c r="B1" s="1" t="inlineStr">
        <is>
          <t>A</t>
        </is>
      </c>
      <c r="C1" s="1" t="inlineStr">
        <is>
          <t>B</t>
        </is>
      </c>
      <c r="D1" s="1" t="inlineStr">
        <is>
          <t>C</t>
        </is>
      </c>
      <c r="E1" s="1" t="inlineStr">
        <is>
          <t>Reason</t>
        </is>
      </c>
    </row>
    <row r="2">
      <c r="A2" s="2" t="inlineStr">
        <is>
          <t>Market direction</t>
        </is>
      </c>
      <c r="B2" s="2" t="n">
        <v>4</v>
      </c>
      <c r="C2" s="2" t="n">
        <v>6</v>
      </c>
      <c r="D2" s="2" t="n">
        <v>6</v>
      </c>
      <c r="E2" s="2" t="inlineStr">
        <is>
          <t>Downtrend with reversal evidence</t>
        </is>
      </c>
    </row>
    <row r="3">
      <c r="A3" s="2" t="inlineStr">
        <is>
          <t>Higher timeframe alignment</t>
        </is>
      </c>
      <c r="B3" s="2" t="n">
        <v>2</v>
      </c>
      <c r="C3" s="2" t="n">
        <v>8</v>
      </c>
      <c r="D3" s="2" t="n">
        <v>5</v>
      </c>
      <c r="E3" s="2" t="inlineStr">
        <is>
          <t>Monthly, weekly, daily all bearish</t>
        </is>
      </c>
    </row>
    <row r="4">
      <c r="A4" s="2" t="inlineStr">
        <is>
          <t>Entry quality</t>
        </is>
      </c>
      <c r="B4" s="2" t="n">
        <v>6</v>
      </c>
      <c r="C4" s="2" t="n">
        <v>7</v>
      </c>
      <c r="D4" s="2" t="n">
        <v>5</v>
      </c>
      <c r="E4" s="2" t="inlineStr">
        <is>
          <t>A buys discount; B sells premium above liquidity</t>
        </is>
      </c>
    </row>
    <row r="5">
      <c r="A5" s="2" t="inlineStr">
        <is>
          <t>Price action</t>
        </is>
      </c>
      <c r="B5" s="2" t="n">
        <v>6</v>
      </c>
      <c r="C5" s="2" t="n">
        <v>5</v>
      </c>
      <c r="D5" s="2" t="n">
        <v>5</v>
      </c>
      <c r="E5" s="2" t="inlineStr">
        <is>
          <t>A's sweep and outside day confirmed; B's raid not yet</t>
        </is>
      </c>
    </row>
    <row r="6">
      <c r="A6" s="2" t="inlineStr">
        <is>
          <t>Volume confirmation</t>
        </is>
      </c>
      <c r="B6" s="2" t="inlineStr">
        <is>
          <t>N/A</t>
        </is>
      </c>
      <c r="C6" s="2" t="inlineStr">
        <is>
          <t>N/A</t>
        </is>
      </c>
      <c r="D6" s="2" t="inlineStr">
        <is>
          <t>N/A</t>
        </is>
      </c>
      <c r="E6" s="2" t="inlineStr">
        <is>
          <t>No volume data</t>
        </is>
      </c>
    </row>
    <row r="7">
      <c r="A7" s="2" t="inlineStr">
        <is>
          <t>Indicator confirmation</t>
        </is>
      </c>
      <c r="B7" s="2" t="n">
        <v>5</v>
      </c>
      <c r="C7" s="2" t="n">
        <v>6</v>
      </c>
      <c r="D7" s="2" t="n">
        <v>4</v>
      </c>
      <c r="E7" s="2" t="inlineStr">
        <is>
          <t>Momentum improving; trend and ADX bearish</t>
        </is>
      </c>
    </row>
    <row r="8">
      <c r="A8" s="2" t="inlineStr">
        <is>
          <t>Options data confirmation</t>
        </is>
      </c>
      <c r="B8" s="2" t="n">
        <v>6</v>
      </c>
      <c r="C8" s="2" t="n">
        <v>5</v>
      </c>
      <c r="D8" s="2" t="n">
        <v>7</v>
      </c>
      <c r="E8" s="2" t="inlineStr">
        <is>
          <t>Put writing + call covering, but 22,800-23,000 call writing caps</t>
        </is>
      </c>
    </row>
    <row r="9">
      <c r="A9" s="2" t="inlineStr">
        <is>
          <t>Stop-loss quality</t>
        </is>
      </c>
      <c r="B9" s="2" t="n">
        <v>6</v>
      </c>
      <c r="C9" s="2" t="n">
        <v>6</v>
      </c>
      <c r="D9" s="2" t="inlineStr">
        <is>
          <t>N/A</t>
        </is>
      </c>
      <c r="E9" s="2" t="inlineStr">
        <is>
          <t>Beyond real structure; B can get too wide</t>
        </is>
      </c>
    </row>
    <row r="10">
      <c r="A10" s="2" t="inlineStr">
        <is>
          <t>Risk/reward</t>
        </is>
      </c>
      <c r="B10" s="2" t="n">
        <v>7</v>
      </c>
      <c r="C10" s="2" t="n">
        <v>6</v>
      </c>
      <c r="D10" s="2" t="n">
        <v>4</v>
      </c>
      <c r="E10" s="2" t="inlineStr">
        <is>
          <t>~1.8R to T1; B's T1 runs into the 22,500 put wall</t>
        </is>
      </c>
    </row>
    <row r="11">
      <c r="A11" s="2" t="inlineStr">
        <is>
          <t>Overall setup quality</t>
        </is>
      </c>
      <c r="B11" s="2" t="n">
        <v>5</v>
      </c>
      <c r="C11" s="2" t="n">
        <v>6</v>
      </c>
      <c r="D11" s="2" t="n">
        <v>5</v>
      </c>
      <c r="E11" s="2" t="inlineStr">
        <is>
          <t>WAIT FOR CONFIRMATION</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4"/>
  <sheetViews>
    <sheetView tabSelected="0" workbookViewId="0">
      <pane ySplit="1" topLeftCell="A2" activePane="bottomLeft" state="frozen"/>
      <selection pane="bottomLeft" activeCell="A1" sqref="A1"/>
    </sheetView>
  </sheetViews>
  <sheetFormatPr baseColWidth="8" defaultRowHeight="15"/>
  <cols>
    <col width="28" customWidth="1" min="1" max="1"/>
    <col width="16" customWidth="1" min="2" max="2"/>
    <col width="16" customWidth="1" min="3" max="3"/>
    <col width="80" customWidth="1" min="4" max="4"/>
  </cols>
  <sheetData>
    <row r="1">
      <c r="A1" s="1" t="inlineStr">
        <is>
          <t>Input / Output</t>
        </is>
      </c>
      <c r="B1" s="1" t="inlineStr">
        <is>
          <t>A: Bullish</t>
        </is>
      </c>
      <c r="C1" s="1" t="inlineStr">
        <is>
          <t>B: Bearish</t>
        </is>
      </c>
      <c r="D1" s="1" t="inlineStr">
        <is>
          <t>Notes</t>
        </is>
      </c>
    </row>
    <row r="2">
      <c r="A2" s="2" t="inlineStr">
        <is>
          <t>Account capital (Rs)</t>
        </is>
      </c>
      <c r="B2" s="3" t="n"/>
      <c r="C2" s="3" t="n"/>
      <c r="D2" s="2" t="inlineStr">
        <is>
          <t>Yellow cells are inputs. Enter your capital</t>
        </is>
      </c>
    </row>
    <row r="3">
      <c r="A3" s="2" t="inlineStr">
        <is>
          <t>Risk per trade %</t>
        </is>
      </c>
      <c r="B3" s="4" t="n">
        <v>0.01</v>
      </c>
      <c r="C3" s="4" t="n">
        <v>0.01</v>
      </c>
      <c r="D3" s="2" t="inlineStr">
        <is>
          <t>Example 1%. Never increase to recover losses</t>
        </is>
      </c>
    </row>
    <row r="4">
      <c r="A4" s="2" t="inlineStr">
        <is>
          <t>Lot size</t>
        </is>
      </c>
      <c r="B4" s="3" t="n">
        <v>65</v>
      </c>
      <c r="C4" s="3" t="n">
        <v>65</v>
      </c>
      <c r="D4" s="2" t="inlineStr">
        <is>
          <t>From the stored chain</t>
        </is>
      </c>
    </row>
    <row r="5">
      <c r="A5" s="2" t="inlineStr">
        <is>
          <t>Stop distance (index pts)</t>
        </is>
      </c>
      <c r="B5" s="3" t="n">
        <v>120</v>
      </c>
      <c r="C5" s="3" t="n">
        <v>160</v>
      </c>
      <c r="D5" s="2" t="inlineStr">
        <is>
          <t>From the trade plan</t>
        </is>
      </c>
    </row>
    <row r="6">
      <c r="A6" s="2" t="inlineStr">
        <is>
          <t>Approx option delta</t>
        </is>
      </c>
      <c r="B6" s="3" t="n">
        <v>0.5</v>
      </c>
      <c r="C6" s="3" t="n">
        <v>0.5</v>
      </c>
      <c r="D6" s="2" t="inlineStr">
        <is>
          <t>ATM, 19 Oct expiry; ignores gamma and IV changes</t>
        </is>
      </c>
    </row>
    <row r="7">
      <c r="A7" s="2" t="inlineStr">
        <is>
          <t>Futures risk per lot (Rs)</t>
        </is>
      </c>
      <c r="B7" s="2">
        <f>B5*B4</f>
        <v/>
      </c>
      <c r="C7" s="2">
        <f>C5*C4</f>
        <v/>
      </c>
      <c r="D7" s="2" t="inlineStr"/>
    </row>
    <row r="8">
      <c r="A8" s="2" t="inlineStr">
        <is>
          <t>Option risk per lot (Rs)</t>
        </is>
      </c>
      <c r="B8" s="2">
        <f>B5*B6*B4</f>
        <v/>
      </c>
      <c r="C8" s="2">
        <f>C5*C6*C4</f>
        <v/>
      </c>
      <c r="D8" s="2" t="inlineStr">
        <is>
          <t>Approximate</t>
        </is>
      </c>
    </row>
    <row r="9">
      <c r="A9" s="2" t="inlineStr">
        <is>
          <t>Max risk allowed (Rs)</t>
        </is>
      </c>
      <c r="B9" s="2">
        <f>B2*B3</f>
        <v/>
      </c>
      <c r="C9" s="2">
        <f>C2*C3</f>
        <v/>
      </c>
      <c r="D9" s="2" t="inlineStr"/>
    </row>
    <row r="10">
      <c r="A10" s="2" t="inlineStr">
        <is>
          <t>Futures lots</t>
        </is>
      </c>
      <c r="B10" s="2">
        <f>IF(B2="","",FLOOR(B9/B7,1))</f>
        <v/>
      </c>
      <c r="C10" s="2">
        <f>IF(C2="","",FLOOR(C9/C7,1))</f>
        <v/>
      </c>
      <c r="D10" s="2" t="inlineStr">
        <is>
          <t>0 means the trade is too big for the account</t>
        </is>
      </c>
    </row>
    <row r="11">
      <c r="A11" s="2" t="inlineStr">
        <is>
          <t>Option lots</t>
        </is>
      </c>
      <c r="B11" s="2">
        <f>IF(B2="","",FLOOR(B9/B8,1))</f>
        <v/>
      </c>
      <c r="C11" s="2">
        <f>IF(C2="","",FLOOR(C9/C8,1))</f>
        <v/>
      </c>
      <c r="D11" s="2" t="inlineStr">
        <is>
          <t>0 means the trade is too big for the account</t>
        </is>
      </c>
    </row>
    <row r="12">
      <c r="A12" s="2" t="inlineStr">
        <is>
          <t>Costs</t>
        </is>
      </c>
      <c r="B12" s="2" t="inlineStr">
        <is>
          <t>-</t>
        </is>
      </c>
      <c r="C12" s="2" t="inlineStr">
        <is>
          <t>-</t>
        </is>
      </c>
      <c r="D12" s="2" t="inlineStr">
        <is>
          <t>Not calculated: rates vary by broker. Check your contract note</t>
        </is>
      </c>
    </row>
    <row r="13">
      <c r="A13" s="2" t="inlineStr">
        <is>
          <t>Daily rule</t>
        </is>
      </c>
      <c r="B13" s="2" t="inlineStr">
        <is>
          <t>-</t>
        </is>
      </c>
      <c r="C13" s="2" t="inlineStr">
        <is>
          <t>-</t>
        </is>
      </c>
      <c r="D13" s="2" t="inlineStr">
        <is>
          <t>Stop after 2 losses in a day. Never average a losing option position</t>
        </is>
      </c>
    </row>
    <row r="14">
      <c r="A14" s="2" t="inlineStr">
        <is>
          <t>Expiry risk</t>
        </is>
      </c>
      <c r="B14" s="2" t="inlineStr">
        <is>
          <t>-</t>
        </is>
      </c>
      <c r="C14" s="2" t="inlineStr">
        <is>
          <t>-</t>
        </is>
      </c>
      <c r="D14" s="2" t="inlineStr">
        <is>
          <t>Holding weekly options Fri 16 Oct -&gt; Mon 19 Oct expiry = 3 days of theta + weekend gap (20 Oct holiday)</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61"/>
  <sheetViews>
    <sheetView tabSelected="0"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s>
  <sheetData>
    <row r="1">
      <c r="A1" s="1" t="inlineStr">
        <is>
          <t>Date</t>
        </is>
      </c>
      <c r="B1" s="1" t="inlineStr">
        <is>
          <t>Open</t>
        </is>
      </c>
      <c r="C1" s="1" t="inlineStr">
        <is>
          <t>High</t>
        </is>
      </c>
      <c r="D1" s="1" t="inlineStr">
        <is>
          <t>Low</t>
        </is>
      </c>
      <c r="E1" s="1" t="inlineStr">
        <is>
          <t>Close</t>
        </is>
      </c>
      <c r="F1" s="1" t="inlineStr">
        <is>
          <t>VIX</t>
        </is>
      </c>
      <c r="G1" s="1" t="inlineStr">
        <is>
          <t>IV rank</t>
        </is>
      </c>
      <c r="H1" s="1" t="inlineStr">
        <is>
          <t>EMA9</t>
        </is>
      </c>
      <c r="I1" s="1" t="inlineStr">
        <is>
          <t>EMA20</t>
        </is>
      </c>
      <c r="J1" s="1" t="inlineStr">
        <is>
          <t>EMA50</t>
        </is>
      </c>
      <c r="K1" s="1" t="inlineStr">
        <is>
          <t>EMA200</t>
        </is>
      </c>
      <c r="L1" s="1" t="inlineStr">
        <is>
          <t>RSI14</t>
        </is>
      </c>
      <c r="M1" s="1" t="inlineStr">
        <is>
          <t>ATR14</t>
        </is>
      </c>
    </row>
    <row r="2">
      <c r="A2" s="2" t="inlineStr">
        <is>
          <t>2026-07-20</t>
        </is>
      </c>
      <c r="B2" s="2" t="n">
        <v>24190.05</v>
      </c>
      <c r="C2" s="2" t="n">
        <v>24266.1</v>
      </c>
      <c r="D2" s="2" t="n">
        <v>24135.85</v>
      </c>
      <c r="E2" s="2" t="n">
        <v>24238.5</v>
      </c>
      <c r="F2" s="2" t="n">
        <v>12.98</v>
      </c>
      <c r="G2" s="2" t="n">
        <v>20.44</v>
      </c>
      <c r="H2" s="2" t="n">
        <v>24165.5</v>
      </c>
      <c r="I2" s="2" t="n">
        <v>24083.8</v>
      </c>
      <c r="J2" s="2" t="n">
        <v>23984.4</v>
      </c>
      <c r="K2" s="2" t="n">
        <v>24395</v>
      </c>
      <c r="L2" s="2" t="n">
        <v>55.6</v>
      </c>
      <c r="M2" s="2" t="n">
        <v>246.2</v>
      </c>
    </row>
    <row r="3">
      <c r="A3" s="2" t="inlineStr">
        <is>
          <t>2026-07-21</t>
        </is>
      </c>
      <c r="B3" s="2" t="n">
        <v>24216.05</v>
      </c>
      <c r="C3" s="2" t="n">
        <v>24262.2</v>
      </c>
      <c r="D3" s="2" t="n">
        <v>24135.65</v>
      </c>
      <c r="E3" s="2" t="n">
        <v>24187.7</v>
      </c>
      <c r="F3" s="2" t="n">
        <v>12.6</v>
      </c>
      <c r="G3" s="2" t="n">
        <v>18.41</v>
      </c>
      <c r="H3" s="2" t="n">
        <v>24170</v>
      </c>
      <c r="I3" s="2" t="n">
        <v>24093.7</v>
      </c>
      <c r="J3" s="2" t="n">
        <v>23992.4</v>
      </c>
      <c r="K3" s="2" t="n">
        <v>24392.9</v>
      </c>
      <c r="L3" s="2" t="n">
        <v>54.1</v>
      </c>
      <c r="M3" s="2" t="n">
        <v>237.6</v>
      </c>
    </row>
    <row r="4">
      <c r="A4" s="2" t="inlineStr">
        <is>
          <t>2026-07-22</t>
        </is>
      </c>
      <c r="B4" s="2" t="n">
        <v>24150.45</v>
      </c>
      <c r="C4" s="2" t="n">
        <v>24166.3</v>
      </c>
      <c r="D4" s="2" t="n">
        <v>23961.4</v>
      </c>
      <c r="E4" s="2" t="n">
        <v>23996.25</v>
      </c>
      <c r="F4" s="2" t="n">
        <v>13.29</v>
      </c>
      <c r="G4" s="2" t="n">
        <v>22.09</v>
      </c>
      <c r="H4" s="2" t="n">
        <v>24135.2</v>
      </c>
      <c r="I4" s="2" t="n">
        <v>24084.4</v>
      </c>
      <c r="J4" s="2" t="n">
        <v>23992.5</v>
      </c>
      <c r="K4" s="2" t="n">
        <v>24389</v>
      </c>
      <c r="L4" s="2" t="n">
        <v>48.6</v>
      </c>
      <c r="M4" s="2" t="n">
        <v>236.8</v>
      </c>
    </row>
    <row r="5">
      <c r="A5" s="2" t="inlineStr">
        <is>
          <t>2026-07-23</t>
        </is>
      </c>
      <c r="B5" s="2" t="n">
        <v>23904.8</v>
      </c>
      <c r="C5" s="2" t="n">
        <v>23990.75</v>
      </c>
      <c r="D5" s="2" t="n">
        <v>23807.2</v>
      </c>
      <c r="E5" s="2" t="n">
        <v>23869.6</v>
      </c>
      <c r="F5" s="2" t="n">
        <v>13.48</v>
      </c>
      <c r="G5" s="2" t="n">
        <v>23.11</v>
      </c>
      <c r="H5" s="2" t="n">
        <v>24082.1</v>
      </c>
      <c r="I5" s="2" t="n">
        <v>24064</v>
      </c>
      <c r="J5" s="2" t="n">
        <v>23987.7</v>
      </c>
      <c r="K5" s="2" t="n">
        <v>24383.8</v>
      </c>
      <c r="L5" s="2" t="n">
        <v>45.4</v>
      </c>
      <c r="M5" s="2" t="n">
        <v>233.4</v>
      </c>
    </row>
    <row r="6">
      <c r="A6" s="2" t="inlineStr">
        <is>
          <t>2026-07-24</t>
        </is>
      </c>
      <c r="B6" s="2" t="n">
        <v>23666.35</v>
      </c>
      <c r="C6" s="2" t="n">
        <v>23823.6</v>
      </c>
      <c r="D6" s="2" t="n">
        <v>23606.3</v>
      </c>
      <c r="E6" s="2" t="n">
        <v>23767.45</v>
      </c>
      <c r="F6" s="2" t="n">
        <v>14.03</v>
      </c>
      <c r="G6" s="2" t="n">
        <v>26.04</v>
      </c>
      <c r="H6" s="2" t="n">
        <v>24019.2</v>
      </c>
      <c r="I6" s="2" t="n">
        <v>24035.7</v>
      </c>
      <c r="J6" s="2" t="n">
        <v>23979</v>
      </c>
      <c r="K6" s="2" t="n">
        <v>24377.7</v>
      </c>
      <c r="L6" s="2" t="n">
        <v>42.9</v>
      </c>
      <c r="M6" s="2" t="n">
        <v>235.5</v>
      </c>
    </row>
    <row r="7">
      <c r="A7" s="2" t="inlineStr">
        <is>
          <t>2026-07-27</t>
        </is>
      </c>
      <c r="B7" s="2" t="n">
        <v>23928.4</v>
      </c>
      <c r="C7" s="2" t="n">
        <v>24011.6</v>
      </c>
      <c r="D7" s="2" t="n">
        <v>23891.55</v>
      </c>
      <c r="E7" s="2" t="n">
        <v>23995.95</v>
      </c>
      <c r="F7" s="2" t="n">
        <v>12.66</v>
      </c>
      <c r="G7" s="2" t="n">
        <v>18.73</v>
      </c>
      <c r="H7" s="2" t="n">
        <v>24014.5</v>
      </c>
      <c r="I7" s="2" t="n">
        <v>24031.9</v>
      </c>
      <c r="J7" s="2" t="n">
        <v>23979.7</v>
      </c>
      <c r="K7" s="2" t="n">
        <v>24373.9</v>
      </c>
      <c r="L7" s="2" t="n">
        <v>49.5</v>
      </c>
      <c r="M7" s="2" t="n">
        <v>236.2</v>
      </c>
    </row>
    <row r="8">
      <c r="A8" s="2" t="inlineStr">
        <is>
          <t>2026-07-28</t>
        </is>
      </c>
      <c r="B8" s="2" t="n">
        <v>23971.25</v>
      </c>
      <c r="C8" s="2" t="n">
        <v>24041.15</v>
      </c>
      <c r="D8" s="2" t="n">
        <v>23954.6</v>
      </c>
      <c r="E8" s="2" t="n">
        <v>23985.35</v>
      </c>
      <c r="F8" s="2" t="n">
        <v>12.56</v>
      </c>
      <c r="G8" s="2" t="n">
        <v>18.2</v>
      </c>
      <c r="H8" s="2" t="n">
        <v>24008.7</v>
      </c>
      <c r="I8" s="2" t="n">
        <v>24027.5</v>
      </c>
      <c r="J8" s="2" t="n">
        <v>23979.9</v>
      </c>
      <c r="K8" s="2" t="n">
        <v>24370</v>
      </c>
      <c r="L8" s="2" t="n">
        <v>49.3</v>
      </c>
      <c r="M8" s="2" t="n">
        <v>225.5</v>
      </c>
    </row>
    <row r="9">
      <c r="A9" s="2" t="inlineStr">
        <is>
          <t>2026-07-29</t>
        </is>
      </c>
      <c r="B9" s="2" t="n">
        <v>24176.65</v>
      </c>
      <c r="C9" s="2" t="n">
        <v>24283.55</v>
      </c>
      <c r="D9" s="2" t="n">
        <v>24136.75</v>
      </c>
      <c r="E9" s="2" t="n">
        <v>24250.2</v>
      </c>
      <c r="F9" s="2" t="n">
        <v>12.01</v>
      </c>
      <c r="G9" s="2" t="n">
        <v>15.26</v>
      </c>
      <c r="H9" s="2" t="n">
        <v>24057</v>
      </c>
      <c r="I9" s="2" t="n">
        <v>24048.7</v>
      </c>
      <c r="J9" s="2" t="n">
        <v>23990.5</v>
      </c>
      <c r="K9" s="2" t="n">
        <v>24368.8</v>
      </c>
      <c r="L9" s="2" t="n">
        <v>56.1</v>
      </c>
      <c r="M9" s="2" t="n">
        <v>230.7</v>
      </c>
    </row>
    <row r="10">
      <c r="A10" s="2" t="inlineStr">
        <is>
          <t>2026-07-30</t>
        </is>
      </c>
      <c r="B10" s="2" t="n">
        <v>24249.55</v>
      </c>
      <c r="C10" s="2" t="n">
        <v>24342.95</v>
      </c>
      <c r="D10" s="2" t="n">
        <v>24187.1</v>
      </c>
      <c r="E10" s="2" t="n">
        <v>24317.15</v>
      </c>
      <c r="F10" s="2" t="n">
        <v>12.16</v>
      </c>
      <c r="G10" s="2" t="n">
        <v>16.06</v>
      </c>
      <c r="H10" s="2" t="n">
        <v>24109</v>
      </c>
      <c r="I10" s="2" t="n">
        <v>24074.3</v>
      </c>
      <c r="J10" s="2" t="n">
        <v>24003.3</v>
      </c>
      <c r="K10" s="2" t="n">
        <v>24368.3</v>
      </c>
      <c r="L10" s="2" t="n">
        <v>57.7</v>
      </c>
      <c r="M10" s="2" t="n">
        <v>225.3</v>
      </c>
    </row>
    <row r="11">
      <c r="A11" s="2" t="inlineStr">
        <is>
          <t>2026-07-31</t>
        </is>
      </c>
      <c r="B11" s="2" t="n">
        <v>24361.45</v>
      </c>
      <c r="C11" s="2" t="n">
        <v>24429.4</v>
      </c>
      <c r="D11" s="2" t="n">
        <v>24299.7</v>
      </c>
      <c r="E11" s="2" t="n">
        <v>24383.6</v>
      </c>
      <c r="F11" s="2" t="n">
        <v>11.76</v>
      </c>
      <c r="G11" s="2" t="n">
        <v>13.93</v>
      </c>
      <c r="H11" s="2" t="n">
        <v>24163.9</v>
      </c>
      <c r="I11" s="2" t="n">
        <v>24103.7</v>
      </c>
      <c r="J11" s="2" t="n">
        <v>24018.3</v>
      </c>
      <c r="K11" s="2" t="n">
        <v>24368.4</v>
      </c>
      <c r="L11" s="2" t="n">
        <v>59.2</v>
      </c>
      <c r="M11" s="2" t="n">
        <v>218.5</v>
      </c>
    </row>
    <row r="12">
      <c r="A12" s="2" t="inlineStr">
        <is>
          <t>2026-08-03</t>
        </is>
      </c>
      <c r="B12" s="2" t="n">
        <v>24572.7</v>
      </c>
      <c r="C12" s="2" t="n">
        <v>24774.3</v>
      </c>
      <c r="D12" s="2" t="n">
        <v>24515.15</v>
      </c>
      <c r="E12" s="2" t="n">
        <v>24774.3</v>
      </c>
      <c r="F12" s="2" t="n">
        <v>11.93</v>
      </c>
      <c r="G12" s="2" t="n">
        <v>14.83</v>
      </c>
      <c r="H12" s="2" t="n">
        <v>24286</v>
      </c>
      <c r="I12" s="2" t="n">
        <v>24167.6</v>
      </c>
      <c r="J12" s="2" t="n">
        <v>24047.9</v>
      </c>
      <c r="K12" s="2" t="n">
        <v>24372.5</v>
      </c>
      <c r="L12" s="2" t="n">
        <v>66.90000000000001</v>
      </c>
      <c r="M12" s="2" t="n">
        <v>230.8</v>
      </c>
    </row>
    <row r="13">
      <c r="A13" s="2" t="inlineStr">
        <is>
          <t>2026-08-04</t>
        </is>
      </c>
      <c r="B13" s="2" t="n">
        <v>24703.9</v>
      </c>
      <c r="C13" s="2" t="n">
        <v>24703.9</v>
      </c>
      <c r="D13" s="2" t="n">
        <v>24427.95</v>
      </c>
      <c r="E13" s="2" t="n">
        <v>24614.9</v>
      </c>
      <c r="F13" s="2" t="n">
        <v>12.19</v>
      </c>
      <c r="G13" s="2" t="n">
        <v>16.22</v>
      </c>
      <c r="H13" s="2" t="n">
        <v>24351.8</v>
      </c>
      <c r="I13" s="2" t="n">
        <v>24210.2</v>
      </c>
      <c r="J13" s="2" t="n">
        <v>24070.1</v>
      </c>
      <c r="K13" s="2" t="n">
        <v>24374.9</v>
      </c>
      <c r="L13" s="2" t="n">
        <v>61.8</v>
      </c>
      <c r="M13" s="2" t="n">
        <v>239</v>
      </c>
    </row>
    <row r="14">
      <c r="A14" s="2" t="inlineStr">
        <is>
          <t>2026-08-05</t>
        </is>
      </c>
      <c r="B14" s="2" t="n">
        <v>24669.2</v>
      </c>
      <c r="C14" s="2" t="n">
        <v>24677.6</v>
      </c>
      <c r="D14" s="2" t="n">
        <v>24497.95</v>
      </c>
      <c r="E14" s="2" t="n">
        <v>24624.65</v>
      </c>
      <c r="F14" s="2" t="n">
        <v>12.06</v>
      </c>
      <c r="G14" s="2" t="n">
        <v>15.53</v>
      </c>
      <c r="H14" s="2" t="n">
        <v>24406.4</v>
      </c>
      <c r="I14" s="2" t="n">
        <v>24249.7</v>
      </c>
      <c r="J14" s="2" t="n">
        <v>24091.9</v>
      </c>
      <c r="K14" s="2" t="n">
        <v>24377.4</v>
      </c>
      <c r="L14" s="2" t="n">
        <v>62</v>
      </c>
      <c r="M14" s="2" t="n">
        <v>234.8</v>
      </c>
    </row>
    <row r="15">
      <c r="A15" s="2" t="inlineStr">
        <is>
          <t>2026-08-06</t>
        </is>
      </c>
      <c r="B15" s="2" t="n">
        <v>24641</v>
      </c>
      <c r="C15" s="2" t="n">
        <v>24677.05</v>
      </c>
      <c r="D15" s="2" t="n">
        <v>24604.15</v>
      </c>
      <c r="E15" s="2" t="n">
        <v>24636</v>
      </c>
      <c r="F15" s="2" t="n">
        <v>12.16</v>
      </c>
      <c r="G15" s="2" t="n">
        <v>16.06</v>
      </c>
      <c r="H15" s="2" t="n">
        <v>24452.3</v>
      </c>
      <c r="I15" s="2" t="n">
        <v>24286.5</v>
      </c>
      <c r="J15" s="2" t="n">
        <v>24113.2</v>
      </c>
      <c r="K15" s="2" t="n">
        <v>24380</v>
      </c>
      <c r="L15" s="2" t="n">
        <v>62.2</v>
      </c>
      <c r="M15" s="2" t="n">
        <v>223.2</v>
      </c>
    </row>
    <row r="16">
      <c r="A16" s="2" t="inlineStr">
        <is>
          <t>2026-08-07</t>
        </is>
      </c>
      <c r="B16" s="2" t="n">
        <v>24538.9</v>
      </c>
      <c r="C16" s="2" t="n">
        <v>24630.4</v>
      </c>
      <c r="D16" s="2" t="n">
        <v>24522.75</v>
      </c>
      <c r="E16" s="2" t="n">
        <v>24570.65</v>
      </c>
      <c r="F16" s="2" t="n">
        <v>12.16</v>
      </c>
      <c r="G16" s="2" t="n">
        <v>16.06</v>
      </c>
      <c r="H16" s="2" t="n">
        <v>24476</v>
      </c>
      <c r="I16" s="2" t="n">
        <v>24313.5</v>
      </c>
      <c r="J16" s="2" t="n">
        <v>24131.2</v>
      </c>
      <c r="K16" s="2" t="n">
        <v>24381.9</v>
      </c>
      <c r="L16" s="2" t="n">
        <v>59.9</v>
      </c>
      <c r="M16" s="2" t="n">
        <v>215.4</v>
      </c>
    </row>
    <row r="17">
      <c r="A17" s="2" t="inlineStr">
        <is>
          <t>2026-08-10</t>
        </is>
      </c>
      <c r="B17" s="2" t="n">
        <v>24581.25</v>
      </c>
      <c r="C17" s="2" t="n">
        <v>24620.95</v>
      </c>
      <c r="D17" s="2" t="n">
        <v>24511.1</v>
      </c>
      <c r="E17" s="2" t="n">
        <v>24583.8</v>
      </c>
      <c r="F17" s="2" t="n">
        <v>12.25</v>
      </c>
      <c r="G17" s="2" t="n">
        <v>16.54</v>
      </c>
      <c r="H17" s="2" t="n">
        <v>24497.5</v>
      </c>
      <c r="I17" s="2" t="n">
        <v>24339.3</v>
      </c>
      <c r="J17" s="2" t="n">
        <v>24148.9</v>
      </c>
      <c r="K17" s="2" t="n">
        <v>24383.9</v>
      </c>
      <c r="L17" s="2" t="n">
        <v>60.2</v>
      </c>
      <c r="M17" s="2" t="n">
        <v>207.8</v>
      </c>
    </row>
    <row r="18">
      <c r="A18" s="2" t="inlineStr">
        <is>
          <t>2026-08-11</t>
        </is>
      </c>
      <c r="B18" s="2" t="n">
        <v>24575.1</v>
      </c>
      <c r="C18" s="2" t="n">
        <v>24576.85</v>
      </c>
      <c r="D18" s="2" t="n">
        <v>24429.25</v>
      </c>
      <c r="E18" s="2" t="n">
        <v>24471.7</v>
      </c>
      <c r="F18" s="2" t="n">
        <v>11.86</v>
      </c>
      <c r="G18" s="2" t="n">
        <v>14.46</v>
      </c>
      <c r="H18" s="2" t="n">
        <v>24492.4</v>
      </c>
      <c r="I18" s="2" t="n">
        <v>24351.9</v>
      </c>
      <c r="J18" s="2" t="n">
        <v>24161.6</v>
      </c>
      <c r="K18" s="2" t="n">
        <v>24384.7</v>
      </c>
      <c r="L18" s="2" t="n">
        <v>56.1</v>
      </c>
      <c r="M18" s="2" t="n">
        <v>204</v>
      </c>
    </row>
    <row r="19">
      <c r="A19" s="2" t="inlineStr">
        <is>
          <t>2026-08-12</t>
        </is>
      </c>
      <c r="B19" s="2" t="n">
        <v>24472.45</v>
      </c>
      <c r="C19" s="2" t="n">
        <v>24473.3</v>
      </c>
      <c r="D19" s="2" t="n">
        <v>24265.95</v>
      </c>
      <c r="E19" s="2" t="n">
        <v>24435.95</v>
      </c>
      <c r="F19" s="2" t="n">
        <v>11.69</v>
      </c>
      <c r="G19" s="2" t="n">
        <v>13.55</v>
      </c>
      <c r="H19" s="2" t="n">
        <v>24481.1</v>
      </c>
      <c r="I19" s="2" t="n">
        <v>24359.9</v>
      </c>
      <c r="J19" s="2" t="n">
        <v>24172.3</v>
      </c>
      <c r="K19" s="2" t="n">
        <v>24385.2</v>
      </c>
      <c r="L19" s="2" t="n">
        <v>54.8</v>
      </c>
      <c r="M19" s="2" t="n">
        <v>204.3</v>
      </c>
    </row>
    <row r="20">
      <c r="A20" s="2" t="inlineStr">
        <is>
          <t>2026-08-13</t>
        </is>
      </c>
      <c r="B20" s="2" t="n">
        <v>24431.6</v>
      </c>
      <c r="C20" s="2" t="n">
        <v>24431.6</v>
      </c>
      <c r="D20" s="2" t="n">
        <v>24311.4</v>
      </c>
      <c r="E20" s="2" t="n">
        <v>24395.85</v>
      </c>
      <c r="F20" s="2" t="n">
        <v>11.42</v>
      </c>
      <c r="G20" s="2" t="n">
        <v>12.11</v>
      </c>
      <c r="H20" s="2" t="n">
        <v>24464</v>
      </c>
      <c r="I20" s="2" t="n">
        <v>24363.3</v>
      </c>
      <c r="J20" s="2" t="n">
        <v>24181.1</v>
      </c>
      <c r="K20" s="2" t="n">
        <v>24385.4</v>
      </c>
      <c r="L20" s="2" t="n">
        <v>53.3</v>
      </c>
      <c r="M20" s="2" t="n">
        <v>198.6</v>
      </c>
    </row>
    <row r="21">
      <c r="A21" s="2" t="inlineStr">
        <is>
          <t>2026-08-14</t>
        </is>
      </c>
      <c r="B21" s="2" t="n">
        <v>24361.9</v>
      </c>
      <c r="C21" s="2" t="n">
        <v>24405.2</v>
      </c>
      <c r="D21" s="2" t="n">
        <v>24296.8</v>
      </c>
      <c r="E21" s="2" t="n">
        <v>24366</v>
      </c>
      <c r="F21" s="2" t="n">
        <v>11.31</v>
      </c>
      <c r="G21" s="2" t="n">
        <v>11.53</v>
      </c>
      <c r="H21" s="2" t="n">
        <v>24444.4</v>
      </c>
      <c r="I21" s="2" t="n">
        <v>24363.6</v>
      </c>
      <c r="J21" s="2" t="n">
        <v>24188.3</v>
      </c>
      <c r="K21" s="2" t="n">
        <v>24385.2</v>
      </c>
      <c r="L21" s="2" t="n">
        <v>52.2</v>
      </c>
      <c r="M21" s="2" t="n">
        <v>192.1</v>
      </c>
    </row>
    <row r="22">
      <c r="A22" s="2" t="inlineStr">
        <is>
          <t>2026-08-17</t>
        </is>
      </c>
      <c r="B22" s="2" t="n">
        <v>24343.45</v>
      </c>
      <c r="C22" s="2" t="n">
        <v>24360.1</v>
      </c>
      <c r="D22" s="2" t="n">
        <v>24226.95</v>
      </c>
      <c r="E22" s="2" t="n">
        <v>24287.65</v>
      </c>
      <c r="F22" s="2" t="n">
        <v>11.33</v>
      </c>
      <c r="G22" s="2" t="n">
        <v>11.63</v>
      </c>
      <c r="H22" s="2" t="n">
        <v>24413.1</v>
      </c>
      <c r="I22" s="2" t="n">
        <v>24356.3</v>
      </c>
      <c r="J22" s="2" t="n">
        <v>24192.2</v>
      </c>
      <c r="K22" s="2" t="n">
        <v>24384.2</v>
      </c>
      <c r="L22" s="2" t="n">
        <v>49.3</v>
      </c>
      <c r="M22" s="2" t="n">
        <v>188.3</v>
      </c>
    </row>
    <row r="23">
      <c r="A23" s="2" t="inlineStr">
        <is>
          <t>2026-08-18</t>
        </is>
      </c>
      <c r="B23" s="2" t="n">
        <v>24223.85</v>
      </c>
      <c r="C23" s="2" t="n">
        <v>24269.65</v>
      </c>
      <c r="D23" s="2" t="n">
        <v>24154.9</v>
      </c>
      <c r="E23" s="2" t="n">
        <v>24154.9</v>
      </c>
      <c r="F23" s="2" t="n">
        <v>11.39</v>
      </c>
      <c r="G23" s="2" t="n">
        <v>11.95</v>
      </c>
      <c r="H23" s="2" t="n">
        <v>24361.4</v>
      </c>
      <c r="I23" s="2" t="n">
        <v>24337.2</v>
      </c>
      <c r="J23" s="2" t="n">
        <v>24190.8</v>
      </c>
      <c r="K23" s="2" t="n">
        <v>24381.9</v>
      </c>
      <c r="L23" s="2" t="n">
        <v>44.7</v>
      </c>
      <c r="M23" s="2" t="n">
        <v>184.4</v>
      </c>
    </row>
    <row r="24">
      <c r="A24" s="2" t="inlineStr">
        <is>
          <t>2026-08-19</t>
        </is>
      </c>
      <c r="B24" s="2" t="n">
        <v>24152.05</v>
      </c>
      <c r="C24" s="2" t="n">
        <v>24172.85</v>
      </c>
      <c r="D24" s="2" t="n">
        <v>24025.65</v>
      </c>
      <c r="E24" s="2" t="n">
        <v>24078.3</v>
      </c>
      <c r="F24" s="2" t="n">
        <v>11.32</v>
      </c>
      <c r="G24" s="2" t="n">
        <v>11.58</v>
      </c>
      <c r="H24" s="2" t="n">
        <v>24304.8</v>
      </c>
      <c r="I24" s="2" t="n">
        <v>24312.5</v>
      </c>
      <c r="J24" s="2" t="n">
        <v>24186.4</v>
      </c>
      <c r="K24" s="2" t="n">
        <v>24378.9</v>
      </c>
      <c r="L24" s="2" t="n">
        <v>42.2</v>
      </c>
      <c r="M24" s="2" t="n">
        <v>181.7</v>
      </c>
    </row>
    <row r="25">
      <c r="A25" s="2" t="inlineStr">
        <is>
          <t>2026-08-20</t>
        </is>
      </c>
      <c r="B25" s="2" t="n">
        <v>24225.45</v>
      </c>
      <c r="C25" s="2" t="n">
        <v>24265.15</v>
      </c>
      <c r="D25" s="2" t="n">
        <v>24184.55</v>
      </c>
      <c r="E25" s="2" t="n">
        <v>24231.85</v>
      </c>
      <c r="F25" s="2" t="n">
        <v>10.76</v>
      </c>
      <c r="G25" s="2" t="n">
        <v>8.59</v>
      </c>
      <c r="H25" s="2" t="n">
        <v>24290.2</v>
      </c>
      <c r="I25" s="2" t="n">
        <v>24304.8</v>
      </c>
      <c r="J25" s="2" t="n">
        <v>24188.1</v>
      </c>
      <c r="K25" s="2" t="n">
        <v>24377.4</v>
      </c>
      <c r="L25" s="2" t="n">
        <v>48.3</v>
      </c>
      <c r="M25" s="2" t="n">
        <v>182.1</v>
      </c>
    </row>
    <row r="26">
      <c r="A26" s="2" t="inlineStr">
        <is>
          <t>2026-08-21</t>
        </is>
      </c>
      <c r="B26" s="2" t="n">
        <v>24284.05</v>
      </c>
      <c r="C26" s="2" t="n">
        <v>24284.05</v>
      </c>
      <c r="D26" s="2" t="n">
        <v>24206.8</v>
      </c>
      <c r="E26" s="2" t="n">
        <v>24252</v>
      </c>
      <c r="F26" s="2" t="n">
        <v>11.2</v>
      </c>
      <c r="G26" s="2" t="n">
        <v>10.94</v>
      </c>
      <c r="H26" s="2" t="n">
        <v>24282.6</v>
      </c>
      <c r="I26" s="2" t="n">
        <v>24299.8</v>
      </c>
      <c r="J26" s="2" t="n">
        <v>24190.7</v>
      </c>
      <c r="K26" s="2" t="n">
        <v>24376.2</v>
      </c>
      <c r="L26" s="2" t="n">
        <v>49.1</v>
      </c>
      <c r="M26" s="2" t="n">
        <v>174.6</v>
      </c>
    </row>
    <row r="27">
      <c r="A27" s="2" t="inlineStr">
        <is>
          <t>2026-08-24</t>
        </is>
      </c>
      <c r="B27" s="2" t="n">
        <v>24285.05</v>
      </c>
      <c r="C27" s="2" t="n">
        <v>24313</v>
      </c>
      <c r="D27" s="2" t="n">
        <v>24144.3</v>
      </c>
      <c r="E27" s="2" t="n">
        <v>24219.05</v>
      </c>
      <c r="F27" s="2" t="n">
        <v>11.53</v>
      </c>
      <c r="G27" s="2" t="n">
        <v>12.7</v>
      </c>
      <c r="H27" s="2" t="n">
        <v>24269.9</v>
      </c>
      <c r="I27" s="2" t="n">
        <v>24292.1</v>
      </c>
      <c r="J27" s="2" t="n">
        <v>24191.8</v>
      </c>
      <c r="K27" s="2" t="n">
        <v>24374.6</v>
      </c>
      <c r="L27" s="2" t="n">
        <v>47.9</v>
      </c>
      <c r="M27" s="2" t="n">
        <v>174.2</v>
      </c>
    </row>
    <row r="28">
      <c r="A28" s="2" t="inlineStr">
        <is>
          <t>2026-08-25</t>
        </is>
      </c>
      <c r="B28" s="2" t="n">
        <v>24175.75</v>
      </c>
      <c r="C28" s="2" t="n">
        <v>24334.55</v>
      </c>
      <c r="D28" s="2" t="n">
        <v>24115.45</v>
      </c>
      <c r="E28" s="2" t="n">
        <v>24334.55</v>
      </c>
      <c r="F28" s="2" t="n">
        <v>11.08</v>
      </c>
      <c r="G28" s="2" t="n">
        <v>10.3</v>
      </c>
      <c r="H28" s="2" t="n">
        <v>24282.8</v>
      </c>
      <c r="I28" s="2" t="n">
        <v>24296.1</v>
      </c>
      <c r="J28" s="2" t="n">
        <v>24197.4</v>
      </c>
      <c r="K28" s="2" t="n">
        <v>24374.2</v>
      </c>
      <c r="L28" s="2" t="n">
        <v>52.4</v>
      </c>
      <c r="M28" s="2" t="n">
        <v>177.4</v>
      </c>
    </row>
    <row r="29">
      <c r="A29" s="2" t="inlineStr">
        <is>
          <t>2026-08-26</t>
        </is>
      </c>
      <c r="B29" s="2" t="n">
        <v>24341.95</v>
      </c>
      <c r="C29" s="2" t="n">
        <v>24378.6</v>
      </c>
      <c r="D29" s="2" t="n">
        <v>24207.75</v>
      </c>
      <c r="E29" s="2" t="n">
        <v>24207.75</v>
      </c>
      <c r="F29" s="2" t="n">
        <v>10.57</v>
      </c>
      <c r="G29" s="2" t="n">
        <v>7.58</v>
      </c>
      <c r="H29" s="2" t="n">
        <v>24267.8</v>
      </c>
      <c r="I29" s="2" t="n">
        <v>24287.7</v>
      </c>
      <c r="J29" s="2" t="n">
        <v>24197.8</v>
      </c>
      <c r="K29" s="2" t="n">
        <v>24372.6</v>
      </c>
      <c r="L29" s="2" t="n">
        <v>47.5</v>
      </c>
      <c r="M29" s="2" t="n">
        <v>176.9</v>
      </c>
    </row>
    <row r="30">
      <c r="A30" s="2" t="inlineStr">
        <is>
          <t>2026-08-27</t>
        </is>
      </c>
      <c r="B30" s="2" t="n">
        <v>24277.6</v>
      </c>
      <c r="C30" s="2" t="n">
        <v>24297.45</v>
      </c>
      <c r="D30" s="2" t="n">
        <v>24090.85</v>
      </c>
      <c r="E30" s="2" t="n">
        <v>24090.85</v>
      </c>
      <c r="F30" s="2" t="n">
        <v>11.07</v>
      </c>
      <c r="G30" s="2" t="n">
        <v>10.25</v>
      </c>
      <c r="H30" s="2" t="n">
        <v>24232.4</v>
      </c>
      <c r="I30" s="2" t="n">
        <v>24269</v>
      </c>
      <c r="J30" s="2" t="n">
        <v>24193.6</v>
      </c>
      <c r="K30" s="2" t="n">
        <v>24369.8</v>
      </c>
      <c r="L30" s="2" t="n">
        <v>43.5</v>
      </c>
      <c r="M30" s="2" t="n">
        <v>179</v>
      </c>
    </row>
    <row r="31">
      <c r="A31" s="2" t="inlineStr">
        <is>
          <t>2026-08-28</t>
        </is>
      </c>
      <c r="B31" s="2" t="n">
        <v>24122.6</v>
      </c>
      <c r="C31" s="2" t="n">
        <v>24188.3</v>
      </c>
      <c r="D31" s="2" t="n">
        <v>24076.85</v>
      </c>
      <c r="E31" s="2" t="n">
        <v>24175.65</v>
      </c>
      <c r="F31" s="2" t="n">
        <v>10.68</v>
      </c>
      <c r="G31" s="2" t="n">
        <v>8.16</v>
      </c>
      <c r="H31" s="2" t="n">
        <v>24221.1</v>
      </c>
      <c r="I31" s="2" t="n">
        <v>24260.1</v>
      </c>
      <c r="J31" s="2" t="n">
        <v>24192.9</v>
      </c>
      <c r="K31" s="2" t="n">
        <v>24367.8</v>
      </c>
      <c r="L31" s="2" t="n">
        <v>47</v>
      </c>
      <c r="M31" s="2" t="n">
        <v>174.2</v>
      </c>
    </row>
    <row r="32">
      <c r="A32" s="2" t="inlineStr">
        <is>
          <t>2026-08-31</t>
        </is>
      </c>
      <c r="B32" s="2" t="n">
        <v>24117.55</v>
      </c>
      <c r="C32" s="2" t="n">
        <v>24128.7</v>
      </c>
      <c r="D32" s="2" t="n">
        <v>23993.6</v>
      </c>
      <c r="E32" s="2" t="n">
        <v>24080.4</v>
      </c>
      <c r="F32" s="2" t="n">
        <v>11.19</v>
      </c>
      <c r="G32" s="2" t="n">
        <v>10.89</v>
      </c>
      <c r="H32" s="2" t="n">
        <v>24192.9</v>
      </c>
      <c r="I32" s="2" t="n">
        <v>24243</v>
      </c>
      <c r="J32" s="2" t="n">
        <v>24188.5</v>
      </c>
      <c r="K32" s="2" t="n">
        <v>24365</v>
      </c>
      <c r="L32" s="2" t="n">
        <v>43.7</v>
      </c>
      <c r="M32" s="2" t="n">
        <v>174.8</v>
      </c>
    </row>
    <row r="33">
      <c r="A33" s="2" t="inlineStr">
        <is>
          <t>2026-09-01</t>
        </is>
      </c>
      <c r="B33" s="2" t="n">
        <v>24077.55</v>
      </c>
      <c r="C33" s="2" t="n">
        <v>24143.15</v>
      </c>
      <c r="D33" s="2" t="n">
        <v>23952.55</v>
      </c>
      <c r="E33" s="2" t="n">
        <v>24055.8</v>
      </c>
      <c r="F33" s="2" t="n">
        <v>11.49</v>
      </c>
      <c r="G33" s="2" t="n">
        <v>12.49</v>
      </c>
      <c r="H33" s="2" t="n">
        <v>24165.5</v>
      </c>
      <c r="I33" s="2" t="n">
        <v>24225.1</v>
      </c>
      <c r="J33" s="2" t="n">
        <v>24183.3</v>
      </c>
      <c r="K33" s="2" t="n">
        <v>24361.9</v>
      </c>
      <c r="L33" s="2" t="n">
        <v>42.9</v>
      </c>
      <c r="M33" s="2" t="n">
        <v>175.9</v>
      </c>
    </row>
    <row r="34">
      <c r="A34" s="2" t="inlineStr">
        <is>
          <t>2026-09-02</t>
        </is>
      </c>
      <c r="B34" s="2" t="n">
        <v>23858</v>
      </c>
      <c r="C34" s="2" t="n">
        <v>23914.45</v>
      </c>
      <c r="D34" s="2" t="n">
        <v>23786.8</v>
      </c>
      <c r="E34" s="2" t="n">
        <v>23914.45</v>
      </c>
      <c r="F34" s="2" t="n">
        <v>11.59</v>
      </c>
      <c r="G34" s="2" t="n">
        <v>13.02</v>
      </c>
      <c r="H34" s="2" t="n">
        <v>24115.3</v>
      </c>
      <c r="I34" s="2" t="n">
        <v>24195.6</v>
      </c>
      <c r="J34" s="2" t="n">
        <v>24172.7</v>
      </c>
      <c r="K34" s="2" t="n">
        <v>24357.4</v>
      </c>
      <c r="L34" s="2" t="n">
        <v>38.3</v>
      </c>
      <c r="M34" s="2" t="n">
        <v>182.6</v>
      </c>
    </row>
    <row r="35">
      <c r="A35" s="2" t="inlineStr">
        <is>
          <t>2026-09-03</t>
        </is>
      </c>
      <c r="B35" s="2" t="n">
        <v>23997.95</v>
      </c>
      <c r="C35" s="2" t="n">
        <v>24025.4</v>
      </c>
      <c r="D35" s="2" t="n">
        <v>23873.45</v>
      </c>
      <c r="E35" s="2" t="n">
        <v>23873.45</v>
      </c>
      <c r="F35" s="2" t="n">
        <v>11.34</v>
      </c>
      <c r="G35" s="2" t="n">
        <v>11.69</v>
      </c>
      <c r="H35" s="2" t="n">
        <v>24066.9</v>
      </c>
      <c r="I35" s="2" t="n">
        <v>24164.9</v>
      </c>
      <c r="J35" s="2" t="n">
        <v>24161</v>
      </c>
      <c r="K35" s="2" t="n">
        <v>24352.6</v>
      </c>
      <c r="L35" s="2" t="n">
        <v>37.1</v>
      </c>
      <c r="M35" s="2" t="n">
        <v>180.4</v>
      </c>
    </row>
    <row r="36">
      <c r="A36" s="2" t="inlineStr">
        <is>
          <t>2026-09-04</t>
        </is>
      </c>
      <c r="B36" s="2" t="n">
        <v>23910.9</v>
      </c>
      <c r="C36" s="2" t="n">
        <v>24005.75</v>
      </c>
      <c r="D36" s="2" t="n">
        <v>23895.85</v>
      </c>
      <c r="E36" s="2" t="n">
        <v>23897.7</v>
      </c>
      <c r="F36" s="2" t="n">
        <v>10.68</v>
      </c>
      <c r="G36" s="2" t="n">
        <v>8.16</v>
      </c>
      <c r="H36" s="2" t="n">
        <v>24033.1</v>
      </c>
      <c r="I36" s="2" t="n">
        <v>24139.4</v>
      </c>
      <c r="J36" s="2" t="n">
        <v>24150.7</v>
      </c>
      <c r="K36" s="2" t="n">
        <v>24348.1</v>
      </c>
      <c r="L36" s="2" t="n">
        <v>38.4</v>
      </c>
      <c r="M36" s="2" t="n">
        <v>176.9</v>
      </c>
    </row>
    <row r="37">
      <c r="A37" s="2" t="inlineStr">
        <is>
          <t>2026-09-07</t>
        </is>
      </c>
      <c r="B37" s="2" t="n">
        <v>23883.15</v>
      </c>
      <c r="C37" s="2" t="n">
        <v>23890</v>
      </c>
      <c r="D37" s="2" t="n">
        <v>23737.9</v>
      </c>
      <c r="E37" s="2" t="n">
        <v>23779.15</v>
      </c>
      <c r="F37" s="2" t="n">
        <v>11.16</v>
      </c>
      <c r="G37" s="2" t="n">
        <v>10.73</v>
      </c>
      <c r="H37" s="2" t="n">
        <v>23982.3</v>
      </c>
      <c r="I37" s="2" t="n">
        <v>24105.1</v>
      </c>
      <c r="J37" s="2" t="n">
        <v>24136.1</v>
      </c>
      <c r="K37" s="2" t="n">
        <v>24342.4</v>
      </c>
      <c r="L37" s="2" t="n">
        <v>34.7</v>
      </c>
      <c r="M37" s="2" t="n">
        <v>175.7</v>
      </c>
    </row>
    <row r="38">
      <c r="A38" s="2" t="inlineStr">
        <is>
          <t>2026-09-08</t>
        </is>
      </c>
      <c r="B38" s="2" t="n">
        <v>23743.1</v>
      </c>
      <c r="C38" s="2" t="n">
        <v>23758.95</v>
      </c>
      <c r="D38" s="2" t="n">
        <v>23623.1</v>
      </c>
      <c r="E38" s="2" t="n">
        <v>23635.1</v>
      </c>
      <c r="F38" s="2" t="n">
        <v>11.23</v>
      </c>
      <c r="G38" s="2" t="n">
        <v>11.1</v>
      </c>
      <c r="H38" s="2" t="n">
        <v>23912.9</v>
      </c>
      <c r="I38" s="2" t="n">
        <v>24060.4</v>
      </c>
      <c r="J38" s="2" t="n">
        <v>24116.4</v>
      </c>
      <c r="K38" s="2" t="n">
        <v>24335.4</v>
      </c>
      <c r="L38" s="2" t="n">
        <v>30.9</v>
      </c>
      <c r="M38" s="2" t="n">
        <v>174.3</v>
      </c>
    </row>
    <row r="39">
      <c r="A39" s="2" t="inlineStr">
        <is>
          <t>2026-09-09</t>
        </is>
      </c>
      <c r="B39" s="2" t="n">
        <v>23522.05</v>
      </c>
      <c r="C39" s="2" t="n">
        <v>23571.55</v>
      </c>
      <c r="D39" s="2" t="n">
        <v>23431.5</v>
      </c>
      <c r="E39" s="2" t="n">
        <v>23431.5</v>
      </c>
      <c r="F39" s="2" t="n">
        <v>11.92</v>
      </c>
      <c r="G39" s="2" t="n">
        <v>14.78</v>
      </c>
      <c r="H39" s="2" t="n">
        <v>23816.6</v>
      </c>
      <c r="I39" s="2" t="n">
        <v>24000.5</v>
      </c>
      <c r="J39" s="2" t="n">
        <v>24089.6</v>
      </c>
      <c r="K39" s="2" t="n">
        <v>24326.4</v>
      </c>
      <c r="L39" s="2" t="n">
        <v>26.4</v>
      </c>
      <c r="M39" s="2" t="n">
        <v>176.4</v>
      </c>
    </row>
    <row r="40">
      <c r="A40" s="2" t="inlineStr">
        <is>
          <t>2026-09-10</t>
        </is>
      </c>
      <c r="B40" s="2" t="n">
        <v>23446.6</v>
      </c>
      <c r="C40" s="2" t="n">
        <v>23494.95</v>
      </c>
      <c r="D40" s="2" t="n">
        <v>23380.1</v>
      </c>
      <c r="E40" s="2" t="n">
        <v>23477.8</v>
      </c>
      <c r="F40" s="2" t="n">
        <v>11.8</v>
      </c>
      <c r="G40" s="2" t="n">
        <v>14.14</v>
      </c>
      <c r="H40" s="2" t="n">
        <v>23748.8</v>
      </c>
      <c r="I40" s="2" t="n">
        <v>23950.7</v>
      </c>
      <c r="J40" s="2" t="n">
        <v>24065.6</v>
      </c>
      <c r="K40" s="2" t="n">
        <v>24318</v>
      </c>
      <c r="L40" s="2" t="n">
        <v>28.9</v>
      </c>
      <c r="M40" s="2" t="n">
        <v>172</v>
      </c>
    </row>
    <row r="41">
      <c r="A41" s="2" t="inlineStr">
        <is>
          <t>2026-09-11</t>
        </is>
      </c>
      <c r="B41" s="2" t="n">
        <v>23270.3</v>
      </c>
      <c r="C41" s="2" t="n">
        <v>23448.1</v>
      </c>
      <c r="D41" s="2" t="n">
        <v>23231.4</v>
      </c>
      <c r="E41" s="2" t="n">
        <v>23398.1</v>
      </c>
      <c r="F41" s="2" t="n">
        <v>12.29</v>
      </c>
      <c r="G41" s="2" t="n">
        <v>16.76</v>
      </c>
      <c r="H41" s="2" t="n">
        <v>23678.7</v>
      </c>
      <c r="I41" s="2" t="n">
        <v>23898.1</v>
      </c>
      <c r="J41" s="2" t="n">
        <v>24039.4</v>
      </c>
      <c r="K41" s="2" t="n">
        <v>24308.8</v>
      </c>
      <c r="L41" s="2" t="n">
        <v>27.2</v>
      </c>
      <c r="M41" s="2" t="n">
        <v>177.3</v>
      </c>
    </row>
    <row r="42">
      <c r="A42" s="2" t="inlineStr">
        <is>
          <t>2026-09-15</t>
        </is>
      </c>
      <c r="B42" s="2" t="n">
        <v>23576.15</v>
      </c>
      <c r="C42" s="2" t="n">
        <v>23592.85</v>
      </c>
      <c r="D42" s="2" t="n">
        <v>23118.6</v>
      </c>
      <c r="E42" s="2" t="n">
        <v>23118.6</v>
      </c>
      <c r="F42" s="2" t="n">
        <v>13.43</v>
      </c>
      <c r="G42" s="2" t="n">
        <v>22.84</v>
      </c>
      <c r="H42" s="2" t="n">
        <v>23566.7</v>
      </c>
      <c r="I42" s="2" t="n">
        <v>23823.8</v>
      </c>
      <c r="J42" s="2" t="n">
        <v>24003.3</v>
      </c>
      <c r="K42" s="2" t="n">
        <v>24297</v>
      </c>
      <c r="L42" s="2" t="n">
        <v>22.2</v>
      </c>
      <c r="M42" s="2" t="n">
        <v>198.5</v>
      </c>
    </row>
    <row r="43">
      <c r="A43" s="2" t="inlineStr">
        <is>
          <t>2026-09-16</t>
        </is>
      </c>
      <c r="B43" s="2" t="n">
        <v>23201.6</v>
      </c>
      <c r="C43" s="2" t="n">
        <v>23284.75</v>
      </c>
      <c r="D43" s="2" t="n">
        <v>23116.1</v>
      </c>
      <c r="E43" s="2" t="n">
        <v>23217.6</v>
      </c>
      <c r="F43" s="2" t="n">
        <v>13.17</v>
      </c>
      <c r="G43" s="2" t="n">
        <v>21.45</v>
      </c>
      <c r="H43" s="2" t="n">
        <v>23496.9</v>
      </c>
      <c r="I43" s="2" t="n">
        <v>23766.1</v>
      </c>
      <c r="J43" s="2" t="n">
        <v>23972.5</v>
      </c>
      <c r="K43" s="2" t="n">
        <v>24286.2</v>
      </c>
      <c r="L43" s="2" t="n">
        <v>27.3</v>
      </c>
      <c r="M43" s="2" t="n">
        <v>196.4</v>
      </c>
    </row>
    <row r="44">
      <c r="A44" s="2" t="inlineStr">
        <is>
          <t>2026-09-17</t>
        </is>
      </c>
      <c r="B44" s="2" t="n">
        <v>23195.25</v>
      </c>
      <c r="C44" s="2" t="n">
        <v>23363.55</v>
      </c>
      <c r="D44" s="2" t="n">
        <v>23193.65</v>
      </c>
      <c r="E44" s="2" t="n">
        <v>23270.6</v>
      </c>
      <c r="F44" s="2" t="n">
        <v>12.29</v>
      </c>
      <c r="G44" s="2" t="n">
        <v>16.76</v>
      </c>
      <c r="H44" s="2" t="n">
        <v>23451.6</v>
      </c>
      <c r="I44" s="2" t="n">
        <v>23718.9</v>
      </c>
      <c r="J44" s="2" t="n">
        <v>23945</v>
      </c>
      <c r="K44" s="2" t="n">
        <v>24276.1</v>
      </c>
      <c r="L44" s="2" t="n">
        <v>30</v>
      </c>
      <c r="M44" s="2" t="n">
        <v>194.5</v>
      </c>
    </row>
    <row r="45">
      <c r="A45" s="2" t="inlineStr">
        <is>
          <t>2026-09-18</t>
        </is>
      </c>
      <c r="B45" s="2" t="n">
        <v>23334.7</v>
      </c>
      <c r="C45" s="2" t="n">
        <v>23389.15</v>
      </c>
      <c r="D45" s="2" t="n">
        <v>23286.6</v>
      </c>
      <c r="E45" s="2" t="n">
        <v>23346.4</v>
      </c>
      <c r="F45" s="2" t="n">
        <v>11.39</v>
      </c>
      <c r="G45" s="2" t="n">
        <v>11.95</v>
      </c>
      <c r="H45" s="2" t="n">
        <v>23430.6</v>
      </c>
      <c r="I45" s="2" t="n">
        <v>23683.4</v>
      </c>
      <c r="J45" s="2" t="n">
        <v>23921.5</v>
      </c>
      <c r="K45" s="2" t="n">
        <v>24266.9</v>
      </c>
      <c r="L45" s="2" t="n">
        <v>33.7</v>
      </c>
      <c r="M45" s="2" t="n">
        <v>189.1</v>
      </c>
    </row>
    <row r="46">
      <c r="A46" s="2" t="inlineStr">
        <is>
          <t>2026-09-21</t>
        </is>
      </c>
      <c r="B46" s="2" t="n">
        <v>23330.2</v>
      </c>
      <c r="C46" s="2" t="n">
        <v>23466.8</v>
      </c>
      <c r="D46" s="2" t="n">
        <v>23314.8</v>
      </c>
      <c r="E46" s="2" t="n">
        <v>23414.3</v>
      </c>
      <c r="F46" s="2" t="n">
        <v>11.25</v>
      </c>
      <c r="G46" s="2" t="n">
        <v>11.21</v>
      </c>
      <c r="H46" s="2" t="n">
        <v>23427.3</v>
      </c>
      <c r="I46" s="2" t="n">
        <v>23657.8</v>
      </c>
      <c r="J46" s="2" t="n">
        <v>23901.6</v>
      </c>
      <c r="K46" s="2" t="n">
        <v>24258.4</v>
      </c>
      <c r="L46" s="2" t="n">
        <v>36.9</v>
      </c>
      <c r="M46" s="2" t="n">
        <v>186.4</v>
      </c>
    </row>
    <row r="47">
      <c r="A47" s="2" t="inlineStr">
        <is>
          <t>2026-09-22</t>
        </is>
      </c>
      <c r="B47" s="2" t="n">
        <v>23454.05</v>
      </c>
      <c r="C47" s="2" t="n">
        <v>23489</v>
      </c>
      <c r="D47" s="2" t="n">
        <v>23285.75</v>
      </c>
      <c r="E47" s="2" t="n">
        <v>23329</v>
      </c>
      <c r="F47" s="2" t="n">
        <v>11</v>
      </c>
      <c r="G47" s="2" t="n">
        <v>9.869999999999999</v>
      </c>
      <c r="H47" s="2" t="n">
        <v>23407.6</v>
      </c>
      <c r="I47" s="2" t="n">
        <v>23626.5</v>
      </c>
      <c r="J47" s="2" t="n">
        <v>23879.1</v>
      </c>
      <c r="K47" s="2" t="n">
        <v>24249.1</v>
      </c>
      <c r="L47" s="2" t="n">
        <v>34.6</v>
      </c>
      <c r="M47" s="2" t="n">
        <v>187.6</v>
      </c>
    </row>
    <row r="48">
      <c r="A48" s="2" t="inlineStr">
        <is>
          <t>2026-09-23</t>
        </is>
      </c>
      <c r="B48" s="2" t="n">
        <v>23352.15</v>
      </c>
      <c r="C48" s="2" t="n">
        <v>23466.9</v>
      </c>
      <c r="D48" s="2" t="n">
        <v>23349.55</v>
      </c>
      <c r="E48" s="2" t="n">
        <v>23446.8</v>
      </c>
      <c r="F48" s="2" t="n">
        <v>10.35</v>
      </c>
      <c r="G48" s="2" t="n">
        <v>6.4</v>
      </c>
      <c r="H48" s="2" t="n">
        <v>23415.5</v>
      </c>
      <c r="I48" s="2" t="n">
        <v>23609.4</v>
      </c>
      <c r="J48" s="2" t="n">
        <v>23862.2</v>
      </c>
      <c r="K48" s="2" t="n">
        <v>24241.2</v>
      </c>
      <c r="L48" s="2" t="n">
        <v>40.1</v>
      </c>
      <c r="M48" s="2" t="n">
        <v>184.1</v>
      </c>
    </row>
    <row r="49">
      <c r="A49" s="2" t="inlineStr">
        <is>
          <t>2026-09-24</t>
        </is>
      </c>
      <c r="B49" s="2" t="n">
        <v>23221.8</v>
      </c>
      <c r="C49" s="2" t="n">
        <v>23281.95</v>
      </c>
      <c r="D49" s="2" t="n">
        <v>23046.15</v>
      </c>
      <c r="E49" s="2" t="n">
        <v>23063.1</v>
      </c>
      <c r="F49" s="2" t="n">
        <v>12.69</v>
      </c>
      <c r="G49" s="2" t="n">
        <v>18.89</v>
      </c>
      <c r="H49" s="2" t="n">
        <v>23345</v>
      </c>
      <c r="I49" s="2" t="n">
        <v>23557.3</v>
      </c>
      <c r="J49" s="2" t="n">
        <v>23830.9</v>
      </c>
      <c r="K49" s="2" t="n">
        <v>24229.4</v>
      </c>
      <c r="L49" s="2" t="n">
        <v>31</v>
      </c>
      <c r="M49" s="2" t="n">
        <v>199.5</v>
      </c>
    </row>
    <row r="50">
      <c r="A50" s="2" t="inlineStr">
        <is>
          <t>2026-09-25</t>
        </is>
      </c>
      <c r="B50" s="2" t="n">
        <v>23035</v>
      </c>
      <c r="C50" s="2" t="n">
        <v>23162.7</v>
      </c>
      <c r="D50" s="2" t="n">
        <v>23020.95</v>
      </c>
      <c r="E50" s="2" t="n">
        <v>23140.5</v>
      </c>
      <c r="F50" s="2" t="n">
        <v>12.16</v>
      </c>
      <c r="G50" s="2" t="n">
        <v>16.06</v>
      </c>
      <c r="H50" s="2" t="n">
        <v>23304.1</v>
      </c>
      <c r="I50" s="2" t="n">
        <v>23517.6</v>
      </c>
      <c r="J50" s="2" t="n">
        <v>23803.8</v>
      </c>
      <c r="K50" s="2" t="n">
        <v>24218.6</v>
      </c>
      <c r="L50" s="2" t="n">
        <v>34.2</v>
      </c>
      <c r="M50" s="2" t="n">
        <v>195.4</v>
      </c>
    </row>
    <row r="51">
      <c r="A51" s="2" t="inlineStr">
        <is>
          <t>2026-09-28</t>
        </is>
      </c>
      <c r="B51" s="2" t="n">
        <v>23064.9</v>
      </c>
      <c r="C51" s="2" t="n">
        <v>23080.25</v>
      </c>
      <c r="D51" s="2" t="n">
        <v>22762.2</v>
      </c>
      <c r="E51" s="2" t="n">
        <v>22780.25</v>
      </c>
      <c r="F51" s="2" t="n">
        <v>13.64</v>
      </c>
      <c r="G51" s="2" t="n">
        <v>23.96</v>
      </c>
      <c r="H51" s="2" t="n">
        <v>23199.3</v>
      </c>
      <c r="I51" s="2" t="n">
        <v>23447.4</v>
      </c>
      <c r="J51" s="2" t="n">
        <v>23763.6</v>
      </c>
      <c r="K51" s="2" t="n">
        <v>24204.3</v>
      </c>
      <c r="L51" s="2" t="n">
        <v>27.7</v>
      </c>
      <c r="M51" s="2" t="n">
        <v>208.5</v>
      </c>
    </row>
    <row r="52">
      <c r="A52" s="2" t="inlineStr">
        <is>
          <t>2026-09-29</t>
        </is>
      </c>
      <c r="B52" s="2" t="n">
        <v>22732.45</v>
      </c>
      <c r="C52" s="2" t="n">
        <v>22753.25</v>
      </c>
      <c r="D52" s="2" t="n">
        <v>22569.65</v>
      </c>
      <c r="E52" s="2" t="n">
        <v>22716.2</v>
      </c>
      <c r="F52" s="2" t="n">
        <v>13.41</v>
      </c>
      <c r="G52" s="2" t="n">
        <v>22.73</v>
      </c>
      <c r="H52" s="2" t="n">
        <v>23102.7</v>
      </c>
      <c r="I52" s="2" t="n">
        <v>23377.8</v>
      </c>
      <c r="J52" s="2" t="n">
        <v>23722.6</v>
      </c>
      <c r="K52" s="2" t="n">
        <v>24189.5</v>
      </c>
      <c r="L52" s="2" t="n">
        <v>26.7</v>
      </c>
      <c r="M52" s="2" t="n">
        <v>208.6</v>
      </c>
    </row>
    <row r="53">
      <c r="A53" s="2" t="inlineStr">
        <is>
          <t>2026-09-30</t>
        </is>
      </c>
      <c r="B53" s="2" t="n">
        <v>22665</v>
      </c>
      <c r="C53" s="2" t="n">
        <v>22809.35</v>
      </c>
      <c r="D53" s="2" t="n">
        <v>22595.2</v>
      </c>
      <c r="E53" s="2" t="n">
        <v>22620.45</v>
      </c>
      <c r="F53" s="2" t="n">
        <v>13.49</v>
      </c>
      <c r="G53" s="2" t="n">
        <v>23.16</v>
      </c>
      <c r="H53" s="2" t="n">
        <v>23006.3</v>
      </c>
      <c r="I53" s="2" t="n">
        <v>23305.6</v>
      </c>
      <c r="J53" s="2" t="n">
        <v>23679.3</v>
      </c>
      <c r="K53" s="2" t="n">
        <v>24173.9</v>
      </c>
      <c r="L53" s="2" t="n">
        <v>25.3</v>
      </c>
      <c r="M53" s="2" t="n">
        <v>209</v>
      </c>
    </row>
    <row r="54">
      <c r="A54" s="2" t="inlineStr">
        <is>
          <t>2026-10-01</t>
        </is>
      </c>
      <c r="B54" s="2" t="n">
        <v>22543.7</v>
      </c>
      <c r="C54" s="2" t="n">
        <v>22610.6</v>
      </c>
      <c r="D54" s="2" t="n">
        <v>22217.3</v>
      </c>
      <c r="E54" s="2" t="n">
        <v>22421.95</v>
      </c>
      <c r="F54" s="2" t="n">
        <v>14.46</v>
      </c>
      <c r="G54" s="2" t="n">
        <v>28.34</v>
      </c>
      <c r="H54" s="2" t="n">
        <v>22889.4</v>
      </c>
      <c r="I54" s="2" t="n">
        <v>23221.5</v>
      </c>
      <c r="J54" s="2" t="n">
        <v>23630</v>
      </c>
      <c r="K54" s="2" t="n">
        <v>24156.4</v>
      </c>
      <c r="L54" s="2" t="n">
        <v>22.6</v>
      </c>
      <c r="M54" s="2" t="n">
        <v>222.9</v>
      </c>
    </row>
    <row r="55">
      <c r="A55" s="2" t="inlineStr">
        <is>
          <t>2026-10-05</t>
        </is>
      </c>
      <c r="B55" s="2" t="n">
        <v>22532.4</v>
      </c>
      <c r="C55" s="2" t="n">
        <v>22621.8</v>
      </c>
      <c r="D55" s="2" t="n">
        <v>22397.1</v>
      </c>
      <c r="E55" s="2" t="n">
        <v>22555.75</v>
      </c>
      <c r="F55" s="2" t="n">
        <v>14.78</v>
      </c>
      <c r="G55" s="2" t="n">
        <v>30.04</v>
      </c>
      <c r="H55" s="2" t="n">
        <v>22822.7</v>
      </c>
      <c r="I55" s="2" t="n">
        <v>23158.1</v>
      </c>
      <c r="J55" s="2" t="n">
        <v>23587.9</v>
      </c>
      <c r="K55" s="2" t="n">
        <v>24140.5</v>
      </c>
      <c r="L55" s="2" t="n">
        <v>28.2</v>
      </c>
      <c r="M55" s="2" t="n">
        <v>223</v>
      </c>
    </row>
    <row r="56">
      <c r="A56" s="2" t="inlineStr">
        <is>
          <t>2026-10-06</t>
        </is>
      </c>
      <c r="B56" s="2" t="n">
        <v>22603.25</v>
      </c>
      <c r="C56" s="2" t="n">
        <v>22776.1</v>
      </c>
      <c r="D56" s="2" t="n">
        <v>22561.6</v>
      </c>
      <c r="E56" s="2" t="n">
        <v>22776.1</v>
      </c>
      <c r="F56" s="2" t="n">
        <v>13.61</v>
      </c>
      <c r="G56" s="2" t="n">
        <v>23.8</v>
      </c>
      <c r="H56" s="2" t="n">
        <v>22813.4</v>
      </c>
      <c r="I56" s="2" t="n">
        <v>23121.7</v>
      </c>
      <c r="J56" s="2" t="n">
        <v>23556.1</v>
      </c>
      <c r="K56" s="2" t="n">
        <v>24126.9</v>
      </c>
      <c r="L56" s="2" t="n">
        <v>36.3</v>
      </c>
      <c r="M56" s="2" t="n">
        <v>222.8</v>
      </c>
    </row>
    <row r="57">
      <c r="A57" s="2" t="inlineStr">
        <is>
          <t>2026-10-07</t>
        </is>
      </c>
      <c r="B57" s="2" t="n">
        <v>22690.45</v>
      </c>
      <c r="C57" s="2" t="n">
        <v>22717.65</v>
      </c>
      <c r="D57" s="2" t="n">
        <v>22546.3</v>
      </c>
      <c r="E57" s="2" t="n">
        <v>22603.05</v>
      </c>
      <c r="F57" s="2" t="n">
        <v>13.89</v>
      </c>
      <c r="G57" s="2" t="n">
        <v>25.29</v>
      </c>
      <c r="H57" s="2" t="n">
        <v>22771.3</v>
      </c>
      <c r="I57" s="2" t="n">
        <v>23072.3</v>
      </c>
      <c r="J57" s="2" t="n">
        <v>23518.7</v>
      </c>
      <c r="K57" s="2" t="n">
        <v>24111.8</v>
      </c>
      <c r="L57" s="2" t="n">
        <v>33.1</v>
      </c>
      <c r="M57" s="2" t="n">
        <v>223.3</v>
      </c>
    </row>
    <row r="58">
      <c r="A58" s="2" t="inlineStr">
        <is>
          <t>2026-10-08</t>
        </is>
      </c>
      <c r="B58" s="2" t="n">
        <v>22599.05</v>
      </c>
      <c r="C58" s="2" t="n">
        <v>22599.05</v>
      </c>
      <c r="D58" s="2" t="n">
        <v>22179.9</v>
      </c>
      <c r="E58" s="2" t="n">
        <v>22231.8</v>
      </c>
      <c r="F58" s="2" t="n">
        <v>15.28</v>
      </c>
      <c r="G58" s="2" t="n">
        <v>32.71</v>
      </c>
      <c r="H58" s="2" t="n">
        <v>22663.4</v>
      </c>
      <c r="I58" s="2" t="n">
        <v>22992.3</v>
      </c>
      <c r="J58" s="2" t="n">
        <v>23468.2</v>
      </c>
      <c r="K58" s="2" t="n">
        <v>24093.1</v>
      </c>
      <c r="L58" s="2" t="n">
        <v>27.6</v>
      </c>
      <c r="M58" s="2" t="n">
        <v>237.6</v>
      </c>
    </row>
    <row r="59">
      <c r="A59" s="2" t="inlineStr">
        <is>
          <t>2026-10-09</t>
        </is>
      </c>
      <c r="B59" s="2" t="n">
        <v>22314.95</v>
      </c>
      <c r="C59" s="2" t="n">
        <v>22580.75</v>
      </c>
      <c r="D59" s="2" t="n">
        <v>22294.75</v>
      </c>
      <c r="E59" s="2" t="n">
        <v>22520.45</v>
      </c>
      <c r="F59" s="2" t="n">
        <v>14.38</v>
      </c>
      <c r="G59" s="2" t="n">
        <v>27.91</v>
      </c>
      <c r="H59" s="2" t="n">
        <v>22634.8</v>
      </c>
      <c r="I59" s="2" t="n">
        <v>22947.3</v>
      </c>
      <c r="J59" s="2" t="n">
        <v>23431.1</v>
      </c>
      <c r="K59" s="2" t="n">
        <v>24077.4</v>
      </c>
      <c r="L59" s="2" t="n">
        <v>36.5</v>
      </c>
      <c r="M59" s="2" t="n">
        <v>245.6</v>
      </c>
    </row>
    <row r="60">
      <c r="A60" s="2" t="inlineStr">
        <is>
          <t>2026-10-12</t>
        </is>
      </c>
      <c r="B60" s="2" t="n">
        <v>22593.2</v>
      </c>
      <c r="C60" s="2" t="n">
        <v>22651.1</v>
      </c>
      <c r="D60" s="2" t="n">
        <v>22304.45</v>
      </c>
      <c r="E60" s="2" t="n">
        <v>22363.35</v>
      </c>
      <c r="F60" s="2" t="n">
        <v>15.25</v>
      </c>
      <c r="G60" s="2" t="n">
        <v>32.55</v>
      </c>
      <c r="H60" s="2" t="n">
        <v>22580.5</v>
      </c>
      <c r="I60" s="2" t="n">
        <v>22891.7</v>
      </c>
      <c r="J60" s="2" t="n">
        <v>23389.2</v>
      </c>
      <c r="K60" s="2" t="n">
        <v>24060.4</v>
      </c>
      <c r="L60" s="2" t="n">
        <v>34</v>
      </c>
      <c r="M60" s="2" t="n">
        <v>252.8</v>
      </c>
    </row>
    <row r="61">
      <c r="A61" s="2" t="inlineStr">
        <is>
          <t>2026-10-13</t>
        </is>
      </c>
      <c r="B61" s="2" t="n">
        <v>22364.15</v>
      </c>
      <c r="C61" s="2" t="n">
        <v>22721.95</v>
      </c>
      <c r="D61" s="2" t="n">
        <v>22288.45</v>
      </c>
      <c r="E61" s="2" t="n">
        <v>22721.95</v>
      </c>
      <c r="F61" s="2" t="n">
        <v>14.12</v>
      </c>
      <c r="G61" s="2" t="n">
        <v>26.52</v>
      </c>
      <c r="H61" s="2" t="n">
        <v>22608.8</v>
      </c>
      <c r="I61" s="2" t="n">
        <v>22875.5</v>
      </c>
      <c r="J61" s="2" t="n">
        <v>23363</v>
      </c>
      <c r="K61" s="2" t="n">
        <v>24047</v>
      </c>
      <c r="L61" s="2" t="n">
        <v>43.4</v>
      </c>
      <c r="M61" s="2" t="n">
        <v>265.7</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35"/>
  <sheetViews>
    <sheetView tabSelected="0" workbookViewId="0">
      <pane ySplit="1" topLeftCell="A2" activePane="bottomLeft" state="frozen"/>
      <selection pane="bottomLeft" activeCell="A1" sqref="A1"/>
    </sheetView>
  </sheetViews>
  <sheetFormatPr baseColWidth="8" defaultRowHeight="15"/>
  <cols>
    <col width="10" customWidth="1" min="1" max="1"/>
    <col width="10" customWidth="1" min="2" max="2"/>
    <col width="11" customWidth="1" min="3" max="3"/>
    <col width="10" customWidth="1" min="4" max="4"/>
    <col width="11" customWidth="1" min="5" max="5"/>
    <col width="10" customWidth="1" min="6" max="6"/>
    <col width="11" customWidth="1" min="7" max="7"/>
    <col width="10" customWidth="1" min="8" max="8"/>
    <col width="11" customWidth="1" min="9" max="9"/>
  </cols>
  <sheetData>
    <row r="1">
      <c r="A1" s="1" t="inlineStr">
        <is>
          <t>Strike</t>
        </is>
      </c>
      <c r="B1" s="1" t="inlineStr">
        <is>
          <t>CE LTP</t>
        </is>
      </c>
      <c r="C1" s="1" t="inlineStr">
        <is>
          <t>CE Volume</t>
        </is>
      </c>
      <c r="D1" s="1" t="inlineStr">
        <is>
          <t>CE OI</t>
        </is>
      </c>
      <c r="E1" s="1" t="inlineStr">
        <is>
          <t>CE Chg OI</t>
        </is>
      </c>
      <c r="F1" s="1" t="inlineStr">
        <is>
          <t>PE LTP</t>
        </is>
      </c>
      <c r="G1" s="1" t="inlineStr">
        <is>
          <t>PE Volume</t>
        </is>
      </c>
      <c r="H1" s="1" t="inlineStr">
        <is>
          <t>PE OI</t>
        </is>
      </c>
      <c r="I1" s="1" t="inlineStr">
        <is>
          <t>PE Chg OI</t>
        </is>
      </c>
    </row>
    <row r="2">
      <c r="A2" s="2" t="n">
        <v>21200</v>
      </c>
      <c r="B2" s="5" t="n">
        <v>1420</v>
      </c>
      <c r="C2" s="6" t="n">
        <v>1</v>
      </c>
      <c r="D2" s="6" t="n">
        <v>65</v>
      </c>
      <c r="E2" s="6" t="n">
        <v>-65</v>
      </c>
      <c r="F2" s="5" t="n">
        <v>3.75</v>
      </c>
      <c r="G2" s="6" t="n">
        <v>98416</v>
      </c>
      <c r="H2" s="6" t="n">
        <v>1810315</v>
      </c>
      <c r="I2" s="6" t="n">
        <v>569270</v>
      </c>
    </row>
    <row r="3">
      <c r="A3" s="2" t="n">
        <v>21300</v>
      </c>
      <c r="B3" s="5" t="n">
        <v>1950.35</v>
      </c>
      <c r="C3" s="6" t="n">
        <v>0</v>
      </c>
      <c r="D3" s="6" t="n">
        <v>0</v>
      </c>
      <c r="E3" s="6" t="n">
        <v>0</v>
      </c>
      <c r="F3" s="5" t="n">
        <v>4.25</v>
      </c>
      <c r="G3" s="6" t="n">
        <v>150729</v>
      </c>
      <c r="H3" s="6" t="n">
        <v>2265445</v>
      </c>
      <c r="I3" s="6" t="n">
        <v>730210</v>
      </c>
    </row>
    <row r="4">
      <c r="A4" s="2" t="n">
        <v>21400</v>
      </c>
      <c r="B4" s="5" t="n">
        <v>1444.1</v>
      </c>
      <c r="C4" s="6" t="n">
        <v>0</v>
      </c>
      <c r="D4" s="6" t="n">
        <v>65</v>
      </c>
      <c r="E4" s="6" t="n">
        <v>0</v>
      </c>
      <c r="F4" s="5" t="n">
        <v>4.75</v>
      </c>
      <c r="G4" s="6" t="n">
        <v>137871</v>
      </c>
      <c r="H4" s="6" t="n">
        <v>2174055</v>
      </c>
      <c r="I4" s="6" t="n">
        <v>1097655</v>
      </c>
    </row>
    <row r="5">
      <c r="A5" s="2" t="n">
        <v>21500</v>
      </c>
      <c r="B5" s="5" t="n">
        <v>1303.75</v>
      </c>
      <c r="C5" s="6" t="n">
        <v>425</v>
      </c>
      <c r="D5" s="6" t="n">
        <v>29445</v>
      </c>
      <c r="E5" s="6" t="n">
        <v>2990</v>
      </c>
      <c r="F5" s="5" t="n">
        <v>5.35</v>
      </c>
      <c r="G5" s="6" t="n">
        <v>362913</v>
      </c>
      <c r="H5" s="6" t="n">
        <v>7134335</v>
      </c>
      <c r="I5" s="6" t="n">
        <v>3890965</v>
      </c>
    </row>
    <row r="6">
      <c r="A6" s="2" t="n">
        <v>21600</v>
      </c>
      <c r="B6" s="5" t="n">
        <v>1220.9</v>
      </c>
      <c r="C6" s="6" t="n">
        <v>22</v>
      </c>
      <c r="D6" s="6" t="n">
        <v>1170</v>
      </c>
      <c r="E6" s="6" t="n">
        <v>-130</v>
      </c>
      <c r="F6" s="5" t="n">
        <v>6.15</v>
      </c>
      <c r="G6" s="6" t="n">
        <v>184312</v>
      </c>
      <c r="H6" s="6" t="n">
        <v>1656915</v>
      </c>
      <c r="I6" s="6" t="n">
        <v>215735</v>
      </c>
    </row>
    <row r="7">
      <c r="A7" s="2" t="n">
        <v>21700</v>
      </c>
      <c r="B7" s="5" t="n">
        <v>1105.6</v>
      </c>
      <c r="C7" s="6" t="n">
        <v>157</v>
      </c>
      <c r="D7" s="6" t="n">
        <v>2535</v>
      </c>
      <c r="E7" s="6" t="n">
        <v>-1430</v>
      </c>
      <c r="F7" s="5" t="n">
        <v>7.15</v>
      </c>
      <c r="G7" s="6" t="n">
        <v>195291</v>
      </c>
      <c r="H7" s="6" t="n">
        <v>3047980</v>
      </c>
      <c r="I7" s="6" t="n">
        <v>1153555</v>
      </c>
    </row>
    <row r="8">
      <c r="A8" s="2" t="n">
        <v>21800</v>
      </c>
      <c r="B8" s="5" t="n">
        <v>1004.2</v>
      </c>
      <c r="C8" s="6" t="n">
        <v>536</v>
      </c>
      <c r="D8" s="6" t="n">
        <v>30875</v>
      </c>
      <c r="E8" s="6" t="n">
        <v>2665</v>
      </c>
      <c r="F8" s="5" t="n">
        <v>8.5</v>
      </c>
      <c r="G8" s="6" t="n">
        <v>277925</v>
      </c>
      <c r="H8" s="6" t="n">
        <v>3578250</v>
      </c>
      <c r="I8" s="6" t="n">
        <v>1578590</v>
      </c>
    </row>
    <row r="9">
      <c r="A9" s="2" t="n">
        <v>21900</v>
      </c>
      <c r="B9" s="5" t="n">
        <v>907.1</v>
      </c>
      <c r="C9" s="6" t="n">
        <v>953</v>
      </c>
      <c r="D9" s="6" t="n">
        <v>26260</v>
      </c>
      <c r="E9" s="6" t="n">
        <v>-8125</v>
      </c>
      <c r="F9" s="5" t="n">
        <v>10.6</v>
      </c>
      <c r="G9" s="6" t="n">
        <v>208898</v>
      </c>
      <c r="H9" s="6" t="n">
        <v>3319420</v>
      </c>
      <c r="I9" s="6" t="n">
        <v>2282215</v>
      </c>
    </row>
    <row r="10">
      <c r="A10" s="2" t="n">
        <v>22000</v>
      </c>
      <c r="B10" s="5" t="n">
        <v>820.2</v>
      </c>
      <c r="C10" s="6" t="n">
        <v>15304</v>
      </c>
      <c r="D10" s="6" t="n">
        <v>297115</v>
      </c>
      <c r="E10" s="6" t="n">
        <v>-60125</v>
      </c>
      <c r="F10" s="5" t="n">
        <v>12.85</v>
      </c>
      <c r="G10" s="6" t="n">
        <v>418658</v>
      </c>
      <c r="H10" s="6" t="n">
        <v>5397795</v>
      </c>
      <c r="I10" s="6" t="n">
        <v>2706210</v>
      </c>
    </row>
    <row r="11">
      <c r="A11" s="2" t="n">
        <v>22100</v>
      </c>
      <c r="B11" s="5" t="n">
        <v>717.2</v>
      </c>
      <c r="C11" s="6" t="n">
        <v>3919</v>
      </c>
      <c r="D11" s="6" t="n">
        <v>113295</v>
      </c>
      <c r="E11" s="6" t="n">
        <v>1495</v>
      </c>
      <c r="F11" s="5" t="n">
        <v>16.3</v>
      </c>
      <c r="G11" s="6" t="n">
        <v>218570</v>
      </c>
      <c r="H11" s="6" t="n">
        <v>2284490</v>
      </c>
      <c r="I11" s="6" t="n">
        <v>1444105</v>
      </c>
    </row>
    <row r="12">
      <c r="A12" s="2" t="n">
        <v>22200</v>
      </c>
      <c r="B12" s="5" t="n">
        <v>625.45</v>
      </c>
      <c r="C12" s="6" t="n">
        <v>23435</v>
      </c>
      <c r="D12" s="6" t="n">
        <v>401635</v>
      </c>
      <c r="E12" s="6" t="n">
        <v>-37115</v>
      </c>
      <c r="F12" s="5" t="n">
        <v>20.9</v>
      </c>
      <c r="G12" s="6" t="n">
        <v>372519</v>
      </c>
      <c r="H12" s="6" t="n">
        <v>4392375</v>
      </c>
      <c r="I12" s="6" t="n">
        <v>2978495</v>
      </c>
    </row>
    <row r="13">
      <c r="A13" s="2" t="n">
        <v>22300</v>
      </c>
      <c r="B13" s="5" t="n">
        <v>526.85</v>
      </c>
      <c r="C13" s="6" t="n">
        <v>73156</v>
      </c>
      <c r="D13" s="6" t="n">
        <v>642915</v>
      </c>
      <c r="E13" s="6" t="n">
        <v>-111735</v>
      </c>
      <c r="F13" s="5" t="n">
        <v>29</v>
      </c>
      <c r="G13" s="6" t="n">
        <v>361764</v>
      </c>
      <c r="H13" s="6" t="n">
        <v>4243005</v>
      </c>
      <c r="I13" s="6" t="n">
        <v>2839135</v>
      </c>
    </row>
    <row r="14">
      <c r="A14" s="2" t="n">
        <v>22400</v>
      </c>
      <c r="B14" s="5" t="n">
        <v>441.3</v>
      </c>
      <c r="C14" s="6" t="n">
        <v>172652</v>
      </c>
      <c r="D14" s="6" t="n">
        <v>1074060</v>
      </c>
      <c r="E14" s="6" t="n">
        <v>-617045</v>
      </c>
      <c r="F14" s="5" t="n">
        <v>39.4</v>
      </c>
      <c r="G14" s="6" t="n">
        <v>407272</v>
      </c>
      <c r="H14" s="6" t="n">
        <v>3925480</v>
      </c>
      <c r="I14" s="6" t="n">
        <v>2563145</v>
      </c>
    </row>
    <row r="15">
      <c r="A15" s="2" t="n">
        <v>22500</v>
      </c>
      <c r="B15" s="5" t="n">
        <v>357.75</v>
      </c>
      <c r="C15" s="6" t="n">
        <v>486766</v>
      </c>
      <c r="D15" s="6" t="n">
        <v>3136965</v>
      </c>
      <c r="E15" s="6" t="n">
        <v>513240</v>
      </c>
      <c r="F15" s="5" t="n">
        <v>54.35</v>
      </c>
      <c r="G15" s="6" t="n">
        <v>677341</v>
      </c>
      <c r="H15" s="6" t="n">
        <v>7480785</v>
      </c>
      <c r="I15" s="6" t="n">
        <v>5989815</v>
      </c>
    </row>
    <row r="16">
      <c r="A16" s="2" t="n">
        <v>22600</v>
      </c>
      <c r="B16" s="5" t="n">
        <v>280.9</v>
      </c>
      <c r="C16" s="6" t="n">
        <v>494449</v>
      </c>
      <c r="D16" s="6" t="n">
        <v>2798315</v>
      </c>
      <c r="E16" s="6" t="n">
        <v>588705</v>
      </c>
      <c r="F16" s="5" t="n">
        <v>75.25</v>
      </c>
      <c r="G16" s="6" t="n">
        <v>453726</v>
      </c>
      <c r="H16" s="6" t="n">
        <v>4665440</v>
      </c>
      <c r="I16" s="6" t="n">
        <v>3846440</v>
      </c>
    </row>
    <row r="17">
      <c r="A17" s="2" t="n">
        <v>22700</v>
      </c>
      <c r="B17" s="5" t="n">
        <v>207.2</v>
      </c>
      <c r="C17" s="6" t="n">
        <v>496918</v>
      </c>
      <c r="D17" s="6" t="n">
        <v>3922620</v>
      </c>
      <c r="E17" s="6" t="n">
        <v>1332435</v>
      </c>
      <c r="F17" s="5" t="n">
        <v>105.05</v>
      </c>
      <c r="G17" s="6" t="n">
        <v>248760</v>
      </c>
      <c r="H17" s="6" t="n">
        <v>4154865</v>
      </c>
      <c r="I17" s="6" t="n">
        <v>3203135</v>
      </c>
    </row>
    <row r="18">
      <c r="A18" s="2" t="n">
        <v>22800</v>
      </c>
      <c r="B18" s="5" t="n">
        <v>150.8</v>
      </c>
      <c r="C18" s="6" t="n">
        <v>420590</v>
      </c>
      <c r="D18" s="6" t="n">
        <v>3710070</v>
      </c>
      <c r="E18" s="6" t="n">
        <v>1904630</v>
      </c>
      <c r="F18" s="5" t="n">
        <v>142</v>
      </c>
      <c r="G18" s="6" t="n">
        <v>113098</v>
      </c>
      <c r="H18" s="6" t="n">
        <v>2173470</v>
      </c>
      <c r="I18" s="6" t="n">
        <v>1875575</v>
      </c>
    </row>
    <row r="19">
      <c r="A19" s="2" t="n">
        <v>22900</v>
      </c>
      <c r="B19" s="5" t="n">
        <v>102.25</v>
      </c>
      <c r="C19" s="6" t="n">
        <v>304466</v>
      </c>
      <c r="D19" s="6" t="n">
        <v>2643420</v>
      </c>
      <c r="E19" s="6" t="n">
        <v>1089595</v>
      </c>
      <c r="F19" s="5" t="n">
        <v>191.55</v>
      </c>
      <c r="G19" s="6" t="n">
        <v>25087</v>
      </c>
      <c r="H19" s="6" t="n">
        <v>622375</v>
      </c>
      <c r="I19" s="6" t="n">
        <v>433030</v>
      </c>
    </row>
    <row r="20">
      <c r="A20" s="2" t="n">
        <v>23000</v>
      </c>
      <c r="B20" s="5" t="n">
        <v>65.2</v>
      </c>
      <c r="C20" s="6" t="n">
        <v>680572</v>
      </c>
      <c r="D20" s="6" t="n">
        <v>6307730</v>
      </c>
      <c r="E20" s="6" t="n">
        <v>2479620</v>
      </c>
      <c r="F20" s="5" t="n">
        <v>253.5</v>
      </c>
      <c r="G20" s="6" t="n">
        <v>33468</v>
      </c>
      <c r="H20" s="6" t="n">
        <v>934115</v>
      </c>
      <c r="I20" s="6" t="n">
        <v>658385</v>
      </c>
    </row>
    <row r="21">
      <c r="A21" s="2" t="n">
        <v>23100</v>
      </c>
      <c r="B21" s="5" t="n">
        <v>39.15</v>
      </c>
      <c r="C21" s="6" t="n">
        <v>316594</v>
      </c>
      <c r="D21" s="6" t="n">
        <v>3998475</v>
      </c>
      <c r="E21" s="6" t="n">
        <v>1937325</v>
      </c>
      <c r="F21" s="5" t="n">
        <v>333.05</v>
      </c>
      <c r="G21" s="6" t="n">
        <v>5337</v>
      </c>
      <c r="H21" s="6" t="n">
        <v>234845</v>
      </c>
      <c r="I21" s="6" t="n">
        <v>163150</v>
      </c>
    </row>
    <row r="22">
      <c r="A22" s="2" t="n">
        <v>23200</v>
      </c>
      <c r="B22" s="5" t="n">
        <v>22.9</v>
      </c>
      <c r="C22" s="6" t="n">
        <v>289989</v>
      </c>
      <c r="D22" s="6" t="n">
        <v>4884945</v>
      </c>
      <c r="E22" s="6" t="n">
        <v>1850550</v>
      </c>
      <c r="F22" s="5" t="n">
        <v>416.35</v>
      </c>
      <c r="G22" s="6" t="n">
        <v>2116</v>
      </c>
      <c r="H22" s="6" t="n">
        <v>92755</v>
      </c>
      <c r="I22" s="6" t="n">
        <v>34580</v>
      </c>
    </row>
    <row r="23">
      <c r="A23" s="2" t="n">
        <v>23300</v>
      </c>
      <c r="B23" s="5" t="n">
        <v>13.7</v>
      </c>
      <c r="C23" s="6" t="n">
        <v>221328</v>
      </c>
      <c r="D23" s="6" t="n">
        <v>3258645</v>
      </c>
      <c r="E23" s="6" t="n">
        <v>1701505</v>
      </c>
      <c r="F23" s="5" t="n">
        <v>501.65</v>
      </c>
      <c r="G23" s="6" t="n">
        <v>2455</v>
      </c>
      <c r="H23" s="6" t="n">
        <v>134810</v>
      </c>
      <c r="I23" s="6" t="n">
        <v>101465</v>
      </c>
    </row>
    <row r="24">
      <c r="A24" s="2" t="n">
        <v>23400</v>
      </c>
      <c r="B24" s="5" t="n">
        <v>8.699999999999999</v>
      </c>
      <c r="C24" s="6" t="n">
        <v>186826</v>
      </c>
      <c r="D24" s="6" t="n">
        <v>2685410</v>
      </c>
      <c r="E24" s="6" t="n">
        <v>1320605</v>
      </c>
      <c r="F24" s="5" t="n">
        <v>600.75</v>
      </c>
      <c r="G24" s="6" t="n">
        <v>767</v>
      </c>
      <c r="H24" s="6" t="n">
        <v>139360</v>
      </c>
      <c r="I24" s="6" t="n">
        <v>5915</v>
      </c>
    </row>
    <row r="25">
      <c r="A25" s="2" t="n">
        <v>23500</v>
      </c>
      <c r="B25" s="5" t="n">
        <v>6</v>
      </c>
      <c r="C25" s="6" t="n">
        <v>349338</v>
      </c>
      <c r="D25" s="6" t="n">
        <v>5452785</v>
      </c>
      <c r="E25" s="6" t="n">
        <v>2334995</v>
      </c>
      <c r="F25" s="5" t="n">
        <v>696.1</v>
      </c>
      <c r="G25" s="6" t="n">
        <v>4875</v>
      </c>
      <c r="H25" s="6" t="n">
        <v>254735</v>
      </c>
      <c r="I25" s="6" t="n">
        <v>91260</v>
      </c>
    </row>
    <row r="26">
      <c r="A26" s="2" t="n">
        <v>23600</v>
      </c>
      <c r="B26" s="5" t="n">
        <v>4</v>
      </c>
      <c r="C26" s="6" t="n">
        <v>136712</v>
      </c>
      <c r="D26" s="6" t="n">
        <v>2592915</v>
      </c>
      <c r="E26" s="6" t="n">
        <v>1526395</v>
      </c>
      <c r="F26" s="5" t="n">
        <v>784.45</v>
      </c>
      <c r="G26" s="6" t="n">
        <v>405</v>
      </c>
      <c r="H26" s="6" t="n">
        <v>36855</v>
      </c>
      <c r="I26" s="6" t="n">
        <v>12480</v>
      </c>
    </row>
    <row r="27">
      <c r="A27" s="2" t="n">
        <v>23700</v>
      </c>
      <c r="B27" s="5" t="n">
        <v>2.75</v>
      </c>
      <c r="C27" s="6" t="n">
        <v>142931</v>
      </c>
      <c r="D27" s="6" t="n">
        <v>2442895</v>
      </c>
      <c r="E27" s="6" t="n">
        <v>643435</v>
      </c>
      <c r="F27" s="5" t="n">
        <v>879</v>
      </c>
      <c r="G27" s="6" t="n">
        <v>286</v>
      </c>
      <c r="H27" s="6" t="n">
        <v>24115</v>
      </c>
      <c r="I27" s="6" t="n">
        <v>9035</v>
      </c>
    </row>
    <row r="28">
      <c r="A28" s="2" t="n">
        <v>23800</v>
      </c>
      <c r="B28" s="5" t="n">
        <v>2.15</v>
      </c>
      <c r="C28" s="6" t="n">
        <v>91084</v>
      </c>
      <c r="D28" s="6" t="n">
        <v>3211195</v>
      </c>
      <c r="E28" s="6" t="n">
        <v>1116245</v>
      </c>
      <c r="F28" s="5" t="n">
        <v>983.15</v>
      </c>
      <c r="G28" s="6" t="n">
        <v>153</v>
      </c>
      <c r="H28" s="6" t="n">
        <v>15600</v>
      </c>
      <c r="I28" s="6" t="n">
        <v>6435</v>
      </c>
    </row>
    <row r="29">
      <c r="A29" s="2" t="n">
        <v>23900</v>
      </c>
      <c r="B29" s="5" t="n">
        <v>1.65</v>
      </c>
      <c r="C29" s="6" t="n">
        <v>95058</v>
      </c>
      <c r="D29" s="6" t="n">
        <v>2346240</v>
      </c>
      <c r="E29" s="6" t="n">
        <v>781820</v>
      </c>
      <c r="F29" s="5" t="n">
        <v>1085.2</v>
      </c>
      <c r="G29" s="6" t="n">
        <v>202</v>
      </c>
      <c r="H29" s="6" t="n">
        <v>66625</v>
      </c>
      <c r="I29" s="6" t="n">
        <v>7540</v>
      </c>
    </row>
    <row r="30">
      <c r="A30" s="2" t="n">
        <v>24000</v>
      </c>
      <c r="B30" s="5" t="n">
        <v>1.4</v>
      </c>
      <c r="C30" s="6" t="n">
        <v>213159</v>
      </c>
      <c r="D30" s="6" t="n">
        <v>3838575</v>
      </c>
      <c r="E30" s="6" t="n">
        <v>574210</v>
      </c>
      <c r="F30" s="5" t="n">
        <v>1182.2</v>
      </c>
      <c r="G30" s="6" t="n">
        <v>1816</v>
      </c>
      <c r="H30" s="6" t="n">
        <v>195390</v>
      </c>
      <c r="I30" s="6" t="n">
        <v>77415</v>
      </c>
    </row>
    <row r="31">
      <c r="A31" s="2" t="n">
        <v>24100</v>
      </c>
      <c r="B31" s="5" t="n">
        <v>1.15</v>
      </c>
      <c r="C31" s="6" t="n">
        <v>25576</v>
      </c>
      <c r="D31" s="6" t="n">
        <v>843050</v>
      </c>
      <c r="E31" s="6" t="n">
        <v>28730</v>
      </c>
      <c r="F31" s="5" t="n">
        <v>1286.05</v>
      </c>
      <c r="G31" s="6" t="n">
        <v>232</v>
      </c>
      <c r="H31" s="6" t="n">
        <v>45890</v>
      </c>
      <c r="I31" s="6" t="n">
        <v>11765</v>
      </c>
    </row>
    <row r="32">
      <c r="A32" s="2" t="n">
        <v>24200</v>
      </c>
      <c r="B32" s="5" t="n">
        <v>1</v>
      </c>
      <c r="C32" s="6" t="n">
        <v>22009</v>
      </c>
      <c r="D32" s="6" t="n">
        <v>537680</v>
      </c>
      <c r="E32" s="6" t="n">
        <v>261040</v>
      </c>
      <c r="F32" s="5" t="n">
        <v>1369.25</v>
      </c>
      <c r="G32" s="6" t="n">
        <v>707</v>
      </c>
      <c r="H32" s="6" t="n">
        <v>56810</v>
      </c>
      <c r="I32" s="6" t="n">
        <v>42315</v>
      </c>
    </row>
    <row r="33">
      <c r="B33" s="7" t="n"/>
      <c r="C33" s="8" t="n"/>
      <c r="D33" s="8" t="n"/>
      <c r="E33" s="8" t="n"/>
      <c r="F33" s="7" t="n"/>
      <c r="G33" s="8" t="n"/>
      <c r="H33" s="8" t="n"/>
      <c r="I33" s="8" t="n"/>
    </row>
    <row r="34">
      <c r="A34" t="inlineStr">
        <is>
          <t>PCR (OI, shown strikes)</t>
        </is>
      </c>
      <c r="B34" s="9">
        <f>SUM(H2:H32)/SUM(D2:D32)</f>
        <v/>
      </c>
      <c r="C34" s="8" t="n"/>
      <c r="D34" s="8" t="n"/>
      <c r="E34" s="8" t="n"/>
      <c r="F34" s="7" t="n"/>
      <c r="G34" s="8" t="n"/>
      <c r="H34" s="8" t="n"/>
      <c r="I34" s="8" t="n"/>
    </row>
    <row r="35">
      <c r="A35" t="inlineStr">
        <is>
          <t>Note</t>
        </is>
      </c>
      <c r="B35" s="7" t="inlineStr">
        <is>
          <t>19 Oct chg OI is inflated by rollover from the 13 Oct expiry</t>
        </is>
      </c>
      <c r="C35" s="8" t="n"/>
      <c r="D35" s="8" t="n"/>
      <c r="E35" s="8" t="n"/>
      <c r="F35" s="7" t="n"/>
      <c r="G35" s="8" t="n"/>
      <c r="H35" s="8" t="n"/>
      <c r="I35" s="8" t="n"/>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35"/>
  <sheetViews>
    <sheetView tabSelected="0" workbookViewId="0">
      <pane ySplit="1" topLeftCell="A2" activePane="bottomLeft" state="frozen"/>
      <selection pane="bottomLeft" activeCell="A1" sqref="A1"/>
    </sheetView>
  </sheetViews>
  <sheetFormatPr baseColWidth="8" defaultRowHeight="15"/>
  <cols>
    <col width="10" customWidth="1" min="1" max="1"/>
    <col width="10" customWidth="1" min="2" max="2"/>
    <col width="11" customWidth="1" min="3" max="3"/>
    <col width="10" customWidth="1" min="4" max="4"/>
    <col width="11" customWidth="1" min="5" max="5"/>
    <col width="10" customWidth="1" min="6" max="6"/>
    <col width="11" customWidth="1" min="7" max="7"/>
    <col width="10" customWidth="1" min="8" max="8"/>
    <col width="11" customWidth="1" min="9" max="9"/>
  </cols>
  <sheetData>
    <row r="1">
      <c r="A1" s="1" t="inlineStr">
        <is>
          <t>Strike</t>
        </is>
      </c>
      <c r="B1" s="1" t="inlineStr">
        <is>
          <t>CE LTP</t>
        </is>
      </c>
      <c r="C1" s="1" t="inlineStr">
        <is>
          <t>CE Volume</t>
        </is>
      </c>
      <c r="D1" s="1" t="inlineStr">
        <is>
          <t>CE OI</t>
        </is>
      </c>
      <c r="E1" s="1" t="inlineStr">
        <is>
          <t>CE Chg OI</t>
        </is>
      </c>
      <c r="F1" s="1" t="inlineStr">
        <is>
          <t>PE LTP</t>
        </is>
      </c>
      <c r="G1" s="1" t="inlineStr">
        <is>
          <t>PE Volume</t>
        </is>
      </c>
      <c r="H1" s="1" t="inlineStr">
        <is>
          <t>PE OI</t>
        </is>
      </c>
      <c r="I1" s="1" t="inlineStr">
        <is>
          <t>PE Chg OI</t>
        </is>
      </c>
    </row>
    <row r="2">
      <c r="A2" s="2" t="n">
        <v>21200</v>
      </c>
      <c r="B2" s="5" t="n">
        <v>1381.8</v>
      </c>
      <c r="C2" s="6" t="n">
        <v>2</v>
      </c>
      <c r="D2" s="6" t="n">
        <v>195</v>
      </c>
      <c r="E2" s="6" t="n">
        <v>65</v>
      </c>
      <c r="F2" s="5" t="n">
        <v>10.5</v>
      </c>
      <c r="G2" s="6" t="n">
        <v>16709</v>
      </c>
      <c r="H2" s="6" t="n">
        <v>550030</v>
      </c>
      <c r="I2" s="6" t="n">
        <v>-12480</v>
      </c>
    </row>
    <row r="3">
      <c r="A3" s="2" t="n">
        <v>21300</v>
      </c>
      <c r="B3" s="5" t="n">
        <v>1359.35</v>
      </c>
      <c r="C3" s="6" t="n">
        <v>5</v>
      </c>
      <c r="D3" s="6" t="n">
        <v>975</v>
      </c>
      <c r="E3" s="6" t="n">
        <v>-65</v>
      </c>
      <c r="F3" s="5" t="n">
        <v>12.05</v>
      </c>
      <c r="G3" s="6" t="n">
        <v>21203</v>
      </c>
      <c r="H3" s="6" t="n">
        <v>417300</v>
      </c>
      <c r="I3" s="6" t="n">
        <v>-27300</v>
      </c>
    </row>
    <row r="4">
      <c r="A4" s="2" t="n">
        <v>21400</v>
      </c>
      <c r="B4" s="5" t="n">
        <v>1473.75</v>
      </c>
      <c r="C4" s="6" t="n">
        <v>11</v>
      </c>
      <c r="D4" s="6" t="n">
        <v>3120</v>
      </c>
      <c r="E4" s="6" t="n">
        <v>195</v>
      </c>
      <c r="F4" s="5" t="n">
        <v>13.45</v>
      </c>
      <c r="G4" s="6" t="n">
        <v>30014</v>
      </c>
      <c r="H4" s="6" t="n">
        <v>598260</v>
      </c>
      <c r="I4" s="6" t="n">
        <v>91715</v>
      </c>
    </row>
    <row r="5">
      <c r="A5" s="2" t="n">
        <v>21500</v>
      </c>
      <c r="B5" s="5" t="n">
        <v>1350.95</v>
      </c>
      <c r="C5" s="6" t="n">
        <v>1882</v>
      </c>
      <c r="D5" s="6" t="n">
        <v>677560</v>
      </c>
      <c r="E5" s="6" t="n">
        <v>780</v>
      </c>
      <c r="F5" s="5" t="n">
        <v>15.75</v>
      </c>
      <c r="G5" s="6" t="n">
        <v>78238</v>
      </c>
      <c r="H5" s="6" t="n">
        <v>2859025</v>
      </c>
      <c r="I5" s="6" t="n">
        <v>-438295</v>
      </c>
    </row>
    <row r="6">
      <c r="A6" s="2" t="n">
        <v>21600</v>
      </c>
      <c r="B6" s="5" t="n">
        <v>1281.85</v>
      </c>
      <c r="C6" s="6" t="n">
        <v>45</v>
      </c>
      <c r="D6" s="6" t="n">
        <v>2730</v>
      </c>
      <c r="E6" s="6" t="n">
        <v>-715</v>
      </c>
      <c r="F6" s="5" t="n">
        <v>18.4</v>
      </c>
      <c r="G6" s="6" t="n">
        <v>30161</v>
      </c>
      <c r="H6" s="6" t="n">
        <v>479830</v>
      </c>
      <c r="I6" s="6" t="n">
        <v>-214500</v>
      </c>
    </row>
    <row r="7">
      <c r="A7" s="2" t="n">
        <v>21700</v>
      </c>
      <c r="B7" s="5" t="n">
        <v>1165.8</v>
      </c>
      <c r="C7" s="6" t="n">
        <v>78</v>
      </c>
      <c r="D7" s="6" t="n">
        <v>7410</v>
      </c>
      <c r="E7" s="6" t="n">
        <v>0</v>
      </c>
      <c r="F7" s="5" t="n">
        <v>21.85</v>
      </c>
      <c r="G7" s="6" t="n">
        <v>38148</v>
      </c>
      <c r="H7" s="6" t="n">
        <v>1022515</v>
      </c>
      <c r="I7" s="6" t="n">
        <v>262470</v>
      </c>
    </row>
    <row r="8">
      <c r="A8" s="2" t="n">
        <v>21800</v>
      </c>
      <c r="B8" s="5" t="n">
        <v>1064.35</v>
      </c>
      <c r="C8" s="6" t="n">
        <v>607</v>
      </c>
      <c r="D8" s="6" t="n">
        <v>48035</v>
      </c>
      <c r="E8" s="6" t="n">
        <v>1885</v>
      </c>
      <c r="F8" s="5" t="n">
        <v>25.45</v>
      </c>
      <c r="G8" s="6" t="n">
        <v>70909</v>
      </c>
      <c r="H8" s="6" t="n">
        <v>1745770</v>
      </c>
      <c r="I8" s="6" t="n">
        <v>426270</v>
      </c>
    </row>
    <row r="9">
      <c r="A9" s="2" t="n">
        <v>21900</v>
      </c>
      <c r="B9" s="5" t="n">
        <v>986.45</v>
      </c>
      <c r="C9" s="6" t="n">
        <v>321</v>
      </c>
      <c r="D9" s="6" t="n">
        <v>51610</v>
      </c>
      <c r="E9" s="6" t="n">
        <v>-9100</v>
      </c>
      <c r="F9" s="5" t="n">
        <v>30.5</v>
      </c>
      <c r="G9" s="6" t="n">
        <v>40719</v>
      </c>
      <c r="H9" s="6" t="n">
        <v>861770</v>
      </c>
      <c r="I9" s="6" t="n">
        <v>40105</v>
      </c>
    </row>
    <row r="10">
      <c r="A10" s="2" t="n">
        <v>22000</v>
      </c>
      <c r="B10" s="5" t="n">
        <v>873.95</v>
      </c>
      <c r="C10" s="6" t="n">
        <v>13288</v>
      </c>
      <c r="D10" s="6" t="n">
        <v>1133665</v>
      </c>
      <c r="E10" s="6" t="n">
        <v>-143065</v>
      </c>
      <c r="F10" s="5" t="n">
        <v>37.9</v>
      </c>
      <c r="G10" s="6" t="n">
        <v>158975</v>
      </c>
      <c r="H10" s="6" t="n">
        <v>5600725</v>
      </c>
      <c r="I10" s="6" t="n">
        <v>900705</v>
      </c>
    </row>
    <row r="11">
      <c r="A11" s="2" t="n">
        <v>22100</v>
      </c>
      <c r="B11" s="5" t="n">
        <v>792.55</v>
      </c>
      <c r="C11" s="6" t="n">
        <v>2134</v>
      </c>
      <c r="D11" s="6" t="n">
        <v>80600</v>
      </c>
      <c r="E11" s="6" t="n">
        <v>-21515</v>
      </c>
      <c r="F11" s="5" t="n">
        <v>44.4</v>
      </c>
      <c r="G11" s="6" t="n">
        <v>44713</v>
      </c>
      <c r="H11" s="6" t="n">
        <v>911690</v>
      </c>
      <c r="I11" s="6" t="n">
        <v>178360</v>
      </c>
    </row>
    <row r="12">
      <c r="A12" s="2" t="n">
        <v>22200</v>
      </c>
      <c r="B12" s="5" t="n">
        <v>698.65</v>
      </c>
      <c r="C12" s="6" t="n">
        <v>9008</v>
      </c>
      <c r="D12" s="6" t="n">
        <v>715130</v>
      </c>
      <c r="E12" s="6" t="n">
        <v>-100035</v>
      </c>
      <c r="F12" s="5" t="n">
        <v>55.9</v>
      </c>
      <c r="G12" s="6" t="n">
        <v>70819</v>
      </c>
      <c r="H12" s="6" t="n">
        <v>2398825</v>
      </c>
      <c r="I12" s="6" t="n">
        <v>371930</v>
      </c>
    </row>
    <row r="13">
      <c r="A13" s="2" t="n">
        <v>22300</v>
      </c>
      <c r="B13" s="5" t="n">
        <v>612.3</v>
      </c>
      <c r="C13" s="6" t="n">
        <v>21380</v>
      </c>
      <c r="D13" s="6" t="n">
        <v>1178970</v>
      </c>
      <c r="E13" s="6" t="n">
        <v>-306345</v>
      </c>
      <c r="F13" s="5" t="n">
        <v>67.34999999999999</v>
      </c>
      <c r="G13" s="6" t="n">
        <v>89193</v>
      </c>
      <c r="H13" s="6" t="n">
        <v>4218435</v>
      </c>
      <c r="I13" s="6" t="n">
        <v>437645</v>
      </c>
    </row>
    <row r="14">
      <c r="A14" s="2" t="n">
        <v>22400</v>
      </c>
      <c r="B14" s="5" t="n">
        <v>530.35</v>
      </c>
      <c r="C14" s="6" t="n">
        <v>47864</v>
      </c>
      <c r="D14" s="6" t="n">
        <v>1412970</v>
      </c>
      <c r="E14" s="6" t="n">
        <v>-653250</v>
      </c>
      <c r="F14" s="5" t="n">
        <v>86.15000000000001</v>
      </c>
      <c r="G14" s="6" t="n">
        <v>80858</v>
      </c>
      <c r="H14" s="6" t="n">
        <v>2053740</v>
      </c>
      <c r="I14" s="6" t="n">
        <v>-143910</v>
      </c>
    </row>
    <row r="15">
      <c r="A15" s="2" t="n">
        <v>22500</v>
      </c>
      <c r="B15" s="5" t="n">
        <v>448.85</v>
      </c>
      <c r="C15" s="6" t="n">
        <v>137730</v>
      </c>
      <c r="D15" s="6" t="n">
        <v>3474835</v>
      </c>
      <c r="E15" s="6" t="n">
        <v>-745355</v>
      </c>
      <c r="F15" s="5" t="n">
        <v>107.6</v>
      </c>
      <c r="G15" s="6" t="n">
        <v>196992</v>
      </c>
      <c r="H15" s="6" t="n">
        <v>4983095</v>
      </c>
      <c r="I15" s="6" t="n">
        <v>322790</v>
      </c>
    </row>
    <row r="16">
      <c r="A16" s="2" t="n">
        <v>22600</v>
      </c>
      <c r="B16" s="5" t="n">
        <v>379.25</v>
      </c>
      <c r="C16" s="6" t="n">
        <v>94003</v>
      </c>
      <c r="D16" s="6" t="n">
        <v>2230020</v>
      </c>
      <c r="E16" s="6" t="n">
        <v>-560040</v>
      </c>
      <c r="F16" s="5" t="n">
        <v>134.3</v>
      </c>
      <c r="G16" s="6" t="n">
        <v>96788</v>
      </c>
      <c r="H16" s="6" t="n">
        <v>2257710</v>
      </c>
      <c r="I16" s="6" t="n">
        <v>326170</v>
      </c>
    </row>
    <row r="17">
      <c r="A17" s="2" t="n">
        <v>22700</v>
      </c>
      <c r="B17" s="5" t="n">
        <v>310.25</v>
      </c>
      <c r="C17" s="6" t="n">
        <v>98138</v>
      </c>
      <c r="D17" s="6" t="n">
        <v>2958410</v>
      </c>
      <c r="E17" s="6" t="n">
        <v>-364065</v>
      </c>
      <c r="F17" s="5" t="n">
        <v>166.2</v>
      </c>
      <c r="G17" s="6" t="n">
        <v>68266</v>
      </c>
      <c r="H17" s="6" t="n">
        <v>2182440</v>
      </c>
      <c r="I17" s="6" t="n">
        <v>254930</v>
      </c>
    </row>
    <row r="18">
      <c r="A18" s="2" t="n">
        <v>22800</v>
      </c>
      <c r="B18" s="5" t="n">
        <v>249.2</v>
      </c>
      <c r="C18" s="6" t="n">
        <v>98954</v>
      </c>
      <c r="D18" s="6" t="n">
        <v>3284385</v>
      </c>
      <c r="E18" s="6" t="n">
        <v>-2470</v>
      </c>
      <c r="F18" s="5" t="n">
        <v>205</v>
      </c>
      <c r="G18" s="6" t="n">
        <v>42682</v>
      </c>
      <c r="H18" s="6" t="n">
        <v>1965275</v>
      </c>
      <c r="I18" s="6" t="n">
        <v>160745</v>
      </c>
    </row>
    <row r="19">
      <c r="A19" s="2" t="n">
        <v>22900</v>
      </c>
      <c r="B19" s="5" t="n">
        <v>197.95</v>
      </c>
      <c r="C19" s="6" t="n">
        <v>40710</v>
      </c>
      <c r="D19" s="6" t="n">
        <v>1532960</v>
      </c>
      <c r="E19" s="6" t="n">
        <v>104845</v>
      </c>
      <c r="F19" s="5" t="n">
        <v>248.4</v>
      </c>
      <c r="G19" s="6" t="n">
        <v>11846</v>
      </c>
      <c r="H19" s="6" t="n">
        <v>663325</v>
      </c>
      <c r="I19" s="6" t="n">
        <v>70590</v>
      </c>
    </row>
    <row r="20">
      <c r="A20" s="2" t="n">
        <v>23000</v>
      </c>
      <c r="B20" s="5" t="n">
        <v>153.4</v>
      </c>
      <c r="C20" s="6" t="n">
        <v>237232</v>
      </c>
      <c r="D20" s="6" t="n">
        <v>7295210</v>
      </c>
      <c r="E20" s="6" t="n">
        <v>567645</v>
      </c>
      <c r="F20" s="5" t="n">
        <v>305.65</v>
      </c>
      <c r="G20" s="6" t="n">
        <v>38473</v>
      </c>
      <c r="H20" s="6" t="n">
        <v>3608735</v>
      </c>
      <c r="I20" s="6" t="n">
        <v>29380</v>
      </c>
    </row>
    <row r="21">
      <c r="A21" s="2" t="n">
        <v>23100</v>
      </c>
      <c r="B21" s="5" t="n">
        <v>112.9</v>
      </c>
      <c r="C21" s="6" t="n">
        <v>51167</v>
      </c>
      <c r="D21" s="6" t="n">
        <v>1857635</v>
      </c>
      <c r="E21" s="6" t="n">
        <v>39065</v>
      </c>
      <c r="F21" s="5" t="n">
        <v>364.4</v>
      </c>
      <c r="G21" s="6" t="n">
        <v>3533</v>
      </c>
      <c r="H21" s="6" t="n">
        <v>1470430</v>
      </c>
      <c r="I21" s="6" t="n">
        <v>-18980</v>
      </c>
    </row>
    <row r="22">
      <c r="A22" s="2" t="n">
        <v>23200</v>
      </c>
      <c r="B22" s="5" t="n">
        <v>85.05</v>
      </c>
      <c r="C22" s="6" t="n">
        <v>89867</v>
      </c>
      <c r="D22" s="6" t="n">
        <v>3557125</v>
      </c>
      <c r="E22" s="6" t="n">
        <v>-52325</v>
      </c>
      <c r="F22" s="5" t="n">
        <v>436</v>
      </c>
      <c r="G22" s="6" t="n">
        <v>4361</v>
      </c>
      <c r="H22" s="6" t="n">
        <v>1821170</v>
      </c>
      <c r="I22" s="6" t="n">
        <v>1950</v>
      </c>
    </row>
    <row r="23">
      <c r="A23" s="2" t="n">
        <v>23300</v>
      </c>
      <c r="B23" s="5" t="n">
        <v>61.75</v>
      </c>
      <c r="C23" s="6" t="n">
        <v>64903</v>
      </c>
      <c r="D23" s="6" t="n">
        <v>3124875</v>
      </c>
      <c r="E23" s="6" t="n">
        <v>-61165</v>
      </c>
      <c r="F23" s="5" t="n">
        <v>511.8</v>
      </c>
      <c r="G23" s="6" t="n">
        <v>2852</v>
      </c>
      <c r="H23" s="6" t="n">
        <v>2289885</v>
      </c>
      <c r="I23" s="6" t="n">
        <v>-6955</v>
      </c>
    </row>
    <row r="24">
      <c r="A24" s="2" t="n">
        <v>23400</v>
      </c>
      <c r="B24" s="5" t="n">
        <v>44.7</v>
      </c>
      <c r="C24" s="6" t="n">
        <v>59637</v>
      </c>
      <c r="D24" s="6" t="n">
        <v>1994200</v>
      </c>
      <c r="E24" s="6" t="n">
        <v>-107120</v>
      </c>
      <c r="F24" s="5" t="n">
        <v>594.8</v>
      </c>
      <c r="G24" s="6" t="n">
        <v>6339</v>
      </c>
      <c r="H24" s="6" t="n">
        <v>1019590</v>
      </c>
      <c r="I24" s="6" t="n">
        <v>-180180</v>
      </c>
    </row>
    <row r="25">
      <c r="A25" s="2" t="n">
        <v>23500</v>
      </c>
      <c r="B25" s="5" t="n">
        <v>32.05</v>
      </c>
      <c r="C25" s="6" t="n">
        <v>127673</v>
      </c>
      <c r="D25" s="6" t="n">
        <v>8885110</v>
      </c>
      <c r="E25" s="6" t="n">
        <v>45370</v>
      </c>
      <c r="F25" s="5" t="n">
        <v>684.65</v>
      </c>
      <c r="G25" s="6" t="n">
        <v>6547</v>
      </c>
      <c r="H25" s="6" t="n">
        <v>5163730</v>
      </c>
      <c r="I25" s="6" t="n">
        <v>-27690</v>
      </c>
    </row>
    <row r="26">
      <c r="A26" s="2" t="n">
        <v>23600</v>
      </c>
      <c r="B26" s="5" t="n">
        <v>23.6</v>
      </c>
      <c r="C26" s="6" t="n">
        <v>30489</v>
      </c>
      <c r="D26" s="6" t="n">
        <v>1274195</v>
      </c>
      <c r="E26" s="6" t="n">
        <v>90935</v>
      </c>
      <c r="F26" s="5" t="n">
        <v>778.05</v>
      </c>
      <c r="G26" s="6" t="n">
        <v>678</v>
      </c>
      <c r="H26" s="6" t="n">
        <v>692705</v>
      </c>
      <c r="I26" s="6" t="n">
        <v>-4030</v>
      </c>
    </row>
    <row r="27">
      <c r="A27" s="2" t="n">
        <v>23700</v>
      </c>
      <c r="B27" s="5" t="n">
        <v>17.05</v>
      </c>
      <c r="C27" s="6" t="n">
        <v>18346</v>
      </c>
      <c r="D27" s="6" t="n">
        <v>826930</v>
      </c>
      <c r="E27" s="6" t="n">
        <v>6435</v>
      </c>
      <c r="F27" s="5" t="n">
        <v>867.2</v>
      </c>
      <c r="G27" s="6" t="n">
        <v>250</v>
      </c>
      <c r="H27" s="6" t="n">
        <v>397215</v>
      </c>
      <c r="I27" s="6" t="n">
        <v>1820</v>
      </c>
    </row>
    <row r="28">
      <c r="A28" s="2" t="n">
        <v>23800</v>
      </c>
      <c r="B28" s="5" t="n">
        <v>12.65</v>
      </c>
      <c r="C28" s="6" t="n">
        <v>20416</v>
      </c>
      <c r="D28" s="6" t="n">
        <v>1487655</v>
      </c>
      <c r="E28" s="6" t="n">
        <v>-53625</v>
      </c>
      <c r="F28" s="5" t="n">
        <v>966.3</v>
      </c>
      <c r="G28" s="6" t="n">
        <v>594</v>
      </c>
      <c r="H28" s="6" t="n">
        <v>470080</v>
      </c>
      <c r="I28" s="6" t="n">
        <v>-4485</v>
      </c>
    </row>
    <row r="29">
      <c r="A29" s="2" t="n">
        <v>23900</v>
      </c>
      <c r="B29" s="5" t="n">
        <v>9.949999999999999</v>
      </c>
      <c r="C29" s="6" t="n">
        <v>10925</v>
      </c>
      <c r="D29" s="6" t="n">
        <v>516555</v>
      </c>
      <c r="E29" s="6" t="n">
        <v>29770</v>
      </c>
      <c r="F29" s="5" t="n">
        <v>1080.95</v>
      </c>
      <c r="G29" s="6" t="n">
        <v>248</v>
      </c>
      <c r="H29" s="6" t="n">
        <v>206115</v>
      </c>
      <c r="I29" s="6" t="n">
        <v>-6110</v>
      </c>
    </row>
    <row r="30">
      <c r="A30" s="2" t="n">
        <v>24000</v>
      </c>
      <c r="B30" s="5" t="n">
        <v>8.35</v>
      </c>
      <c r="C30" s="6" t="n">
        <v>55680</v>
      </c>
      <c r="D30" s="6" t="n">
        <v>5927415</v>
      </c>
      <c r="E30" s="6" t="n">
        <v>-23335</v>
      </c>
      <c r="F30" s="5" t="n">
        <v>1152.3</v>
      </c>
      <c r="G30" s="6" t="n">
        <v>3141</v>
      </c>
      <c r="H30" s="6" t="n">
        <v>2777775</v>
      </c>
      <c r="I30" s="6" t="n">
        <v>-17420</v>
      </c>
    </row>
    <row r="31">
      <c r="A31" s="2" t="n">
        <v>24100</v>
      </c>
      <c r="B31" s="5" t="n">
        <v>6.75</v>
      </c>
      <c r="C31" s="6" t="n">
        <v>9446</v>
      </c>
      <c r="D31" s="6" t="n">
        <v>549185</v>
      </c>
      <c r="E31" s="6" t="n">
        <v>-19305</v>
      </c>
      <c r="F31" s="5" t="n">
        <v>1268.7</v>
      </c>
      <c r="G31" s="6" t="n">
        <v>125</v>
      </c>
      <c r="H31" s="6" t="n">
        <v>210925</v>
      </c>
      <c r="I31" s="6" t="n">
        <v>1300</v>
      </c>
    </row>
    <row r="32">
      <c r="A32" s="2" t="n">
        <v>24200</v>
      </c>
      <c r="B32" s="5" t="n">
        <v>5.35</v>
      </c>
      <c r="C32" s="6" t="n">
        <v>7112</v>
      </c>
      <c r="D32" s="6" t="n">
        <v>805480</v>
      </c>
      <c r="E32" s="6" t="n">
        <v>18265</v>
      </c>
      <c r="F32" s="5" t="n">
        <v>1343.1</v>
      </c>
      <c r="G32" s="6" t="n">
        <v>200</v>
      </c>
      <c r="H32" s="6" t="n">
        <v>359255</v>
      </c>
      <c r="I32" s="6" t="n">
        <v>-4810</v>
      </c>
    </row>
    <row r="33">
      <c r="B33" s="7" t="n"/>
      <c r="C33" s="8" t="n"/>
      <c r="D33" s="8" t="n"/>
      <c r="E33" s="8" t="n"/>
      <c r="F33" s="7" t="n"/>
      <c r="G33" s="8" t="n"/>
      <c r="H33" s="8" t="n"/>
      <c r="I33" s="8" t="n"/>
    </row>
    <row r="34">
      <c r="A34" t="inlineStr">
        <is>
          <t>PCR (OI, shown strikes)</t>
        </is>
      </c>
      <c r="B34" s="9">
        <f>SUM(H2:H32)/SUM(D2:D32)</f>
        <v/>
      </c>
      <c r="C34" s="8" t="n"/>
      <c r="D34" s="8" t="n"/>
      <c r="E34" s="8" t="n"/>
      <c r="F34" s="7" t="n"/>
      <c r="G34" s="8" t="n"/>
      <c r="H34" s="8" t="n"/>
      <c r="I34" s="8" t="n"/>
    </row>
    <row r="35">
      <c r="A35" t="inlineStr">
        <is>
          <t>Note</t>
        </is>
      </c>
      <c r="B35" s="7" t="inlineStr">
        <is>
          <t>Monthly chain: cleaner read of positioning</t>
        </is>
      </c>
      <c r="C35" s="8" t="n"/>
      <c r="D35" s="8" t="n"/>
      <c r="E35" s="8" t="n"/>
      <c r="F35" s="7" t="n"/>
      <c r="G35" s="8" t="n"/>
      <c r="H35" s="8" t="n"/>
      <c r="I35" s="8"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2026-10-13T15:32:23Z</dcterms:created>
  <dcterms:modified xsi:type="dcterms:W3CDTF">2026-10-13T16:20:54Z</dcterms:modified>
</cp:coreProperties>
</file>