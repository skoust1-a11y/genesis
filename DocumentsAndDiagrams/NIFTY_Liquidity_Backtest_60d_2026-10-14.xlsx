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ps compared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Daily" sheetId="5" state="visible" r:id="rId5"/>
  </sheets>
  <definedNames>
    <definedName name="_xlnm._FilterDatabase" localSheetId="1" hidden="1">'Stops compared'!$A$1:$C$23</definedName>
    <definedName name="_xlnm._FilterDatabase" localSheetId="2" hidden="1">'Yearly'!$A$1:$K$2</definedName>
    <definedName name="_xlnm._FilterDatabase" localSheetId="3" hidden="1">'Trades'!$A$1:$AC$13</definedName>
    <definedName name="_xlnm._FilterDatabase" localSheetId="4" hidden="1">'Daily'!$A$1:$H$60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color rgb="002E7D32"/>
    </font>
    <font>
      <color rgb="00C6282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3 lots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'Yearly'!I1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</f>
            </numRef>
          </cat>
          <val>
            <numRef>
              <f>'Yearly'!$I$2</f>
            </numRef>
          </val>
        </ser>
        <ser>
          <idx val="1"/>
          <order val="1"/>
          <tx>
            <strRef>
              <f>'Yearly'!J1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</f>
            </numRef>
          </cat>
          <val>
            <numRef>
              <f>'Yearly'!$J$2</f>
            </numRef>
          </val>
        </ser>
        <ser>
          <idx val="2"/>
          <order val="2"/>
          <tx>
            <strRef>
              <f>'Yearly'!K1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</f>
            </numRef>
          </cat>
          <val>
            <numRef>
              <f>'Yearly'!$K$2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3 lots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'Daily'!F1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'Daily'!$A$2:$A$60</f>
            </numRef>
          </cat>
          <val>
            <numRef>
              <f>'Daily'!$F$2:$F$60</f>
            </numRef>
          </val>
        </ser>
        <ser>
          <idx val="1"/>
          <order val="1"/>
          <tx>
            <strRef>
              <f>'Daily'!G1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'Daily'!$A$2:$A$60</f>
            </numRef>
          </cat>
          <val>
            <numRef>
              <f>'Daily'!$G$2:$G$60</f>
            </numRef>
          </val>
        </ser>
        <ser>
          <idx val="2"/>
          <order val="2"/>
          <tx>
            <strRef>
              <f>'Daily'!H1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'Daily'!$A$2:$A$60</f>
            </numRef>
          </cat>
          <val>
            <numRef>
              <f>'Daily'!$H$2:$H$60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>
      <c r="A1" s="1" t="inlineStr">
        <is>
          <t>Your money (3 lots per trade)</t>
        </is>
      </c>
      <c r="B1" t="inlineStr"/>
    </row>
    <row r="2">
      <c r="A2" s="1" t="inlineStr">
        <is>
          <t>Starting capital Rs</t>
        </is>
      </c>
      <c r="B2" t="n">
        <v>100000</v>
      </c>
    </row>
    <row r="3">
      <c r="A3" s="1" t="inlineStr">
        <is>
          <t>Trading capital at the end Rs</t>
        </is>
      </c>
      <c r="B3" t="n">
        <v>111116</v>
      </c>
    </row>
    <row r="4">
      <c r="A4" s="1" t="inlineStr">
        <is>
          <t>Wallet (profit booked) Rs</t>
        </is>
      </c>
      <c r="B4" t="n">
        <v>0</v>
      </c>
    </row>
    <row r="5">
      <c r="A5" s="1" t="inlineStr">
        <is>
          <t>Total (capital + wallet) Rs</t>
        </is>
      </c>
      <c r="B5" t="n">
        <v>111116</v>
      </c>
    </row>
    <row r="6">
      <c r="A6" s="1" t="inlineStr">
        <is>
          <t>Change Rs</t>
        </is>
      </c>
      <c r="B6" t="n">
        <v>11116</v>
      </c>
    </row>
    <row r="7">
      <c r="A7" s="1" t="inlineStr">
        <is>
          <t>Change %</t>
        </is>
      </c>
      <c r="B7" t="n">
        <v>11.12</v>
      </c>
    </row>
    <row r="8">
      <c r="A8" s="1" t="inlineStr">
        <is>
          <t>Yearly growth % (CAGR)</t>
        </is>
      </c>
      <c r="B8" t="n">
        <v>58.14</v>
      </c>
    </row>
    <row r="9">
      <c r="A9" s="1" t="inlineStr">
        <is>
          <t>Highest total Rs</t>
        </is>
      </c>
      <c r="B9" t="inlineStr">
        <is>
          <t>111,116 on 2026-10-12</t>
        </is>
      </c>
    </row>
    <row r="10">
      <c r="A10" s="1" t="inlineStr">
        <is>
          <t>Lowest total Rs</t>
        </is>
      </c>
      <c r="B10" t="inlineStr">
        <is>
          <t>95,263 on 2026-08-21</t>
        </is>
      </c>
    </row>
    <row r="11">
      <c r="A11" s="1" t="inlineStr">
        <is>
          <t>Lowest trading capital Rs</t>
        </is>
      </c>
      <c r="B11" t="inlineStr">
        <is>
          <t>95,263 on 2026-08-21</t>
        </is>
      </c>
    </row>
    <row r="12">
      <c r="A12" s="1" t="inlineStr">
        <is>
          <t>Lots per trade (min / average / max)</t>
        </is>
      </c>
      <c r="B12" t="inlineStr">
        <is>
          <t>3 / 3.0 / 3</t>
        </is>
      </c>
    </row>
    <row r="13">
      <c r="A13" s="2" t="inlineStr"/>
      <c r="B13" t="inlineStr"/>
    </row>
    <row r="14">
      <c r="A14" s="1" t="inlineStr">
        <is>
          <t>Period</t>
        </is>
      </c>
      <c r="B14" t="inlineStr">
        <is>
          <t>2026-07-21 to 2026-10-13</t>
        </is>
      </c>
    </row>
    <row r="15">
      <c r="A15" s="1" t="inlineStr">
        <is>
          <t>Trading days</t>
        </is>
      </c>
      <c r="B15" t="n">
        <v>59</v>
      </c>
    </row>
    <row r="16">
      <c r="A16" s="1" t="inlineStr">
        <is>
          <t>Days with a trade</t>
        </is>
      </c>
      <c r="B16" t="n">
        <v>12</v>
      </c>
    </row>
    <row r="17">
      <c r="A17" s="2" t="inlineStr"/>
      <c r="B17" t="inlineStr"/>
    </row>
    <row r="18">
      <c r="A18" s="1" t="inlineStr">
        <is>
          <t>All trades</t>
        </is>
      </c>
      <c r="B18" t="n">
        <v>12</v>
      </c>
    </row>
    <row r="19">
      <c r="A19" s="1" t="inlineStr">
        <is>
          <t>All win rate %</t>
        </is>
      </c>
      <c r="B19" t="n">
        <v>58.3</v>
      </c>
    </row>
    <row r="20">
      <c r="A20" s="1" t="inlineStr">
        <is>
          <t>All targets / stops / breakevens / 15:10</t>
        </is>
      </c>
      <c r="B20" t="inlineStr">
        <is>
          <t>0 / 2 / 0 / 10</t>
        </is>
      </c>
    </row>
    <row r="21">
      <c r="A21" s="1" t="inlineStr">
        <is>
          <t>All total points</t>
        </is>
      </c>
      <c r="B21" t="n">
        <v>214.75</v>
      </c>
    </row>
    <row r="22">
      <c r="A22" s="1" t="inlineStr">
        <is>
          <t>All total R</t>
        </is>
      </c>
      <c r="B22" t="n">
        <v>2.97</v>
      </c>
    </row>
    <row r="23">
      <c r="A23" s="1" t="inlineStr">
        <is>
          <t>All futures Rs</t>
        </is>
      </c>
      <c r="B23" t="n">
        <v>41875</v>
      </c>
    </row>
    <row r="24">
      <c r="A24" s="1" t="inlineStr">
        <is>
          <t>All option Rs</t>
        </is>
      </c>
      <c r="B24" t="n">
        <v>11117</v>
      </c>
    </row>
    <row r="25">
      <c r="A25" s="2" t="inlineStr"/>
      <c r="B25" t="inlineStr"/>
    </row>
    <row r="26">
      <c r="A26" s="1" t="inlineStr">
        <is>
          <t>Long trades</t>
        </is>
      </c>
      <c r="B26" t="n">
        <v>4</v>
      </c>
    </row>
    <row r="27">
      <c r="A27" s="1" t="inlineStr">
        <is>
          <t>Long win rate %</t>
        </is>
      </c>
      <c r="B27" t="n">
        <v>25</v>
      </c>
    </row>
    <row r="28">
      <c r="A28" s="1" t="inlineStr">
        <is>
          <t>Long targets / stops / breakevens / 15:10</t>
        </is>
      </c>
      <c r="B28" t="inlineStr">
        <is>
          <t>0 / 1 / 0 / 3</t>
        </is>
      </c>
    </row>
    <row r="29">
      <c r="A29" s="1" t="inlineStr">
        <is>
          <t>Long total points</t>
        </is>
      </c>
      <c r="B29" t="n">
        <v>-51.35</v>
      </c>
    </row>
    <row r="30">
      <c r="A30" s="1" t="inlineStr">
        <is>
          <t>Long total R</t>
        </is>
      </c>
      <c r="B30" t="n">
        <v>-0.82</v>
      </c>
    </row>
    <row r="31">
      <c r="A31" s="1" t="inlineStr">
        <is>
          <t>Long futures Rs</t>
        </is>
      </c>
      <c r="B31" t="n">
        <v>-10014</v>
      </c>
    </row>
    <row r="32">
      <c r="A32" s="1" t="inlineStr">
        <is>
          <t>Long option Rs</t>
        </is>
      </c>
      <c r="B32" t="n">
        <v>-4490</v>
      </c>
    </row>
    <row r="33">
      <c r="A33" s="2" t="inlineStr"/>
      <c r="B33" t="inlineStr"/>
    </row>
    <row r="34">
      <c r="A34" s="1" t="inlineStr">
        <is>
          <t>Short trades</t>
        </is>
      </c>
      <c r="B34" t="n">
        <v>8</v>
      </c>
    </row>
    <row r="35">
      <c r="A35" s="1" t="inlineStr">
        <is>
          <t>Short win rate %</t>
        </is>
      </c>
      <c r="B35" t="n">
        <v>75</v>
      </c>
    </row>
    <row r="36">
      <c r="A36" s="1" t="inlineStr">
        <is>
          <t>Short targets / stops / breakevens / 15:10</t>
        </is>
      </c>
      <c r="B36" t="inlineStr">
        <is>
          <t>0 / 1 / 0 / 7</t>
        </is>
      </c>
    </row>
    <row r="37">
      <c r="A37" s="1" t="inlineStr">
        <is>
          <t>Short total points</t>
        </is>
      </c>
      <c r="B37" t="n">
        <v>266.1</v>
      </c>
    </row>
    <row r="38">
      <c r="A38" s="1" t="inlineStr">
        <is>
          <t>Short total R</t>
        </is>
      </c>
      <c r="B38" t="n">
        <v>3.79</v>
      </c>
    </row>
    <row r="39">
      <c r="A39" s="1" t="inlineStr">
        <is>
          <t>Short futures Rs</t>
        </is>
      </c>
      <c r="B39" t="n">
        <v>51889</v>
      </c>
    </row>
    <row r="40">
      <c r="A40" s="1" t="inlineStr">
        <is>
          <t>Short option Rs</t>
        </is>
      </c>
      <c r="B40" t="n">
        <v>15607</v>
      </c>
    </row>
    <row r="41">
      <c r="A41" s="2" t="inlineStr"/>
      <c r="B41" t="inlineStr"/>
    </row>
    <row r="42">
      <c r="A42" s="1" t="inlineStr">
        <is>
          <t>Option trades statistics</t>
        </is>
      </c>
      <c r="B42" t="inlineStr"/>
    </row>
    <row r="43">
      <c r="A43" s="2" t="inlineStr">
        <is>
          <t>trades</t>
        </is>
      </c>
      <c r="B43" t="n">
        <v>12</v>
      </c>
    </row>
    <row r="44">
      <c r="A44" s="2" t="inlineStr">
        <is>
          <t>gross profit</t>
        </is>
      </c>
      <c r="B44" t="n">
        <v>22996</v>
      </c>
    </row>
    <row r="45">
      <c r="A45" s="2" t="inlineStr">
        <is>
          <t>gross loss</t>
        </is>
      </c>
      <c r="B45" t="n">
        <v>11879</v>
      </c>
    </row>
    <row r="46">
      <c r="A46" s="2" t="inlineStr">
        <is>
          <t>profit factor</t>
        </is>
      </c>
      <c r="B46" t="n">
        <v>1.9359</v>
      </c>
    </row>
    <row r="47">
      <c r="A47" s="2" t="inlineStr">
        <is>
          <t>expectancy</t>
        </is>
      </c>
      <c r="B47" t="n">
        <v>926.42</v>
      </c>
    </row>
    <row r="48">
      <c r="A48" s="2" t="inlineStr">
        <is>
          <t>expectancy ci95</t>
        </is>
      </c>
      <c r="B48" t="inlineStr">
        <is>
          <t>[-1135.33, 3391.42]</t>
        </is>
      </c>
    </row>
    <row r="49">
      <c r="A49" s="2" t="inlineStr">
        <is>
          <t>avg win</t>
        </is>
      </c>
      <c r="B49" t="n">
        <v>3832.67</v>
      </c>
    </row>
    <row r="50">
      <c r="A50" s="2" t="inlineStr">
        <is>
          <t>avg loss</t>
        </is>
      </c>
      <c r="B50" t="n">
        <v>-1979.83</v>
      </c>
    </row>
    <row r="51">
      <c r="A51" s="2" t="inlineStr">
        <is>
          <t>max consecutive losses</t>
        </is>
      </c>
      <c r="B51" t="n">
        <v>3</v>
      </c>
    </row>
    <row r="52">
      <c r="A52" s="2" t="inlineStr">
        <is>
          <t>return pct</t>
        </is>
      </c>
      <c r="B52" t="n">
        <v>11.116</v>
      </c>
    </row>
    <row r="53">
      <c r="A53" s="2" t="inlineStr">
        <is>
          <t>annual return pct</t>
        </is>
      </c>
      <c r="B53" t="n">
        <v>47.4785</v>
      </c>
    </row>
    <row r="54">
      <c r="A54" s="2" t="inlineStr">
        <is>
          <t>sharpe</t>
        </is>
      </c>
      <c r="B54" t="n">
        <v>1.5692</v>
      </c>
    </row>
    <row r="55">
      <c r="A55" s="2" t="inlineStr">
        <is>
          <t>sortino</t>
        </is>
      </c>
      <c r="B55" t="n">
        <v>3.7145</v>
      </c>
    </row>
    <row r="56">
      <c r="A56" s="2" t="inlineStr">
        <is>
          <t>max drawdown pct</t>
        </is>
      </c>
      <c r="B56" t="n">
        <v>4.737</v>
      </c>
    </row>
    <row r="57">
      <c r="A57" s="2" t="inlineStr">
        <is>
          <t>calmar</t>
        </is>
      </c>
      <c r="B57" t="n">
        <v>10.0229</v>
      </c>
    </row>
    <row r="58">
      <c r="A58" s="2" t="inlineStr">
        <is>
          <t>recovery factor</t>
        </is>
      </c>
      <c r="B58" t="n">
        <v>2.3468</v>
      </c>
    </row>
    <row r="59">
      <c r="A59" s="2" t="inlineStr">
        <is>
          <t>exposure pct</t>
        </is>
      </c>
      <c r="B59" t="n">
        <v>20.339</v>
      </c>
    </row>
    <row r="60">
      <c r="A60" s="2" t="inlineStr"/>
      <c r="B60" t="inlineStr"/>
    </row>
    <row r="61">
      <c r="A61" s="1" t="inlineStr">
        <is>
          <t>Assumptions</t>
        </is>
      </c>
      <c r="B61" t="inlineStr"/>
    </row>
    <row r="62">
      <c r="A62" s="1" t="inlineStr">
        <is>
          <t>Data</t>
        </is>
      </c>
      <c r="B62" t="inlineStr">
        <is>
          <t>Yahoo 5m NIFTY (a few minutes delayed), VWAP from NIFTYBEES, previous day from Yahoo daily</t>
        </is>
      </c>
    </row>
    <row r="63">
      <c r="A63" s="1" t="inlineStr">
        <is>
          <t>Filters</t>
        </is>
      </c>
      <c r="B63" t="inlineStr">
        <is>
          <t>No trades on expiry days; setups risking under 30 pts skipped</t>
        </is>
      </c>
    </row>
    <row r="64">
      <c r="A64" s="1" t="inlineStr">
        <is>
          <t>Exits</t>
        </is>
      </c>
      <c r="B64" t="inlineStr">
        <is>
          <t>Stop or 3R target on a 5m high/low (both in one bar = stop), stop to entry from the bar after one reaching +1R, else the 15:10 close</t>
        </is>
      </c>
    </row>
    <row r="65">
      <c r="A65" s="1" t="inlineStr">
        <is>
          <t>Option</t>
        </is>
      </c>
      <c r="B65" t="inlineStr">
        <is>
          <t>CE/PE 2 strikes out of the money, to the expiry in force (monthly Thursday before Feb 2019, weekly Thursday to Aug 2025, weekly Tuesday since), lot size of the day, Black-76 at the previous day's India VIX, IV constant</t>
        </is>
      </c>
    </row>
    <row r="66">
      <c r="A66" s="1" t="inlineStr">
        <is>
          <t>Charges</t>
        </is>
      </c>
      <c r="B66" t="inlineStr">
        <is>
          <t>Today's brokerage and taxes on every trade (older years had different rates)</t>
        </is>
      </c>
    </row>
    <row r="67">
      <c r="A67" s="1" t="inlineStr">
        <is>
          <t>Losing streaks</t>
        </is>
      </c>
      <c r="B67" t="inlineStr">
        <is>
          <t>3 losing trades in a row (index points) = rest of that day and the next 3 trading days off. The 2-losses-a-day stop never binds: at most 2 trades a day</t>
        </is>
      </c>
    </row>
    <row r="68">
      <c r="A68" s="1" t="inlineStr">
        <is>
          <t>Not modelled</t>
        </is>
      </c>
      <c r="B68" t="inlineStr">
        <is>
          <t>Slippage, bid-ask spread, IV changes, the premium of an overlapping second trade (capital is checked one trade at a 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Metric</t>
        </is>
      </c>
      <c r="B1" s="3" t="inlineStr">
        <is>
          <t>Swing stop (current)</t>
        </is>
      </c>
      <c r="C1" s="3" t="inlineStr">
        <is>
          <t>Stop 5 pts past the sweep high/low</t>
        </is>
      </c>
    </row>
    <row r="2">
      <c r="A2" t="inlineStr">
        <is>
          <t>Signals</t>
        </is>
      </c>
      <c r="B2" t="n">
        <v>12</v>
      </c>
      <c r="C2" t="n">
        <v>12</v>
      </c>
    </row>
    <row r="3">
      <c r="A3" t="inlineStr">
        <is>
          <t>Trades taken</t>
        </is>
      </c>
      <c r="B3" t="n">
        <v>12</v>
      </c>
      <c r="C3" t="n">
        <v>12</v>
      </c>
    </row>
    <row r="4">
      <c r="A4" t="inlineStr">
        <is>
          <t>Win rate %</t>
        </is>
      </c>
      <c r="B4" t="n">
        <v>58.3</v>
      </c>
      <c r="C4" t="n">
        <v>58.3</v>
      </c>
    </row>
    <row r="5">
      <c r="A5" t="inlineStr">
        <is>
          <t>Average stop distance (pts)</t>
        </is>
      </c>
      <c r="B5" t="n">
        <v>79.59999999999999</v>
      </c>
      <c r="C5" t="n">
        <v>102.7</v>
      </c>
    </row>
    <row r="6">
      <c r="A6" t="inlineStr">
        <is>
          <t>Targets / stops / breakevens / 15:10</t>
        </is>
      </c>
      <c r="B6" t="inlineStr">
        <is>
          <t>0 / 2 / 0 / 10</t>
        </is>
      </c>
      <c r="C6" t="inlineStr">
        <is>
          <t>0 / 2 / 0 / 10</t>
        </is>
      </c>
    </row>
    <row r="7">
      <c r="A7" t="inlineStr">
        <is>
          <t>Total R</t>
        </is>
      </c>
      <c r="B7" t="n">
        <v>2.97</v>
      </c>
      <c r="C7" t="n">
        <v>1.22</v>
      </c>
    </row>
    <row r="8">
      <c r="A8" t="inlineStr">
        <is>
          <t>R per trade</t>
        </is>
      </c>
      <c r="B8" t="n">
        <v>0.248</v>
      </c>
      <c r="C8" t="n">
        <v>0.102</v>
      </c>
    </row>
    <row r="9">
      <c r="A9" t="inlineStr">
        <is>
          <t>Option Rs</t>
        </is>
      </c>
      <c r="B9" t="n">
        <v>11117</v>
      </c>
      <c r="C9" t="n">
        <v>10867</v>
      </c>
    </row>
    <row r="10">
      <c r="A10" t="inlineStr">
        <is>
          <t>Profit factor</t>
        </is>
      </c>
      <c r="B10" t="n">
        <v>1.9359</v>
      </c>
      <c r="C10" t="n">
        <v>1.896</v>
      </c>
    </row>
    <row r="11">
      <c r="A11" t="inlineStr">
        <is>
          <t>Max drawdown %</t>
        </is>
      </c>
      <c r="B11" t="n">
        <v>4.737</v>
      </c>
      <c r="C11" t="n">
        <v>4.85</v>
      </c>
    </row>
    <row r="12">
      <c r="A12" t="inlineStr">
        <is>
          <t>Longest losing streak</t>
        </is>
      </c>
      <c r="B12" t="n">
        <v>3</v>
      </c>
      <c r="C12" t="n">
        <v>3</v>
      </c>
    </row>
    <row r="13">
      <c r="A13" t="inlineStr">
        <is>
          <t>Starting capital Rs</t>
        </is>
      </c>
      <c r="B13" t="n">
        <v>100000</v>
      </c>
      <c r="C13" t="n">
        <v>100000</v>
      </c>
    </row>
    <row r="14">
      <c r="A14" t="inlineStr">
        <is>
          <t>Trading capital at the end Rs</t>
        </is>
      </c>
      <c r="B14" t="n">
        <v>111116</v>
      </c>
      <c r="C14" t="n">
        <v>110867</v>
      </c>
    </row>
    <row r="15">
      <c r="A15" t="inlineStr">
        <is>
          <t>Wallet (profit booked) Rs</t>
        </is>
      </c>
      <c r="B15" t="n">
        <v>0</v>
      </c>
      <c r="C15" t="n">
        <v>0</v>
      </c>
    </row>
    <row r="16">
      <c r="A16" t="inlineStr">
        <is>
          <t>Total (capital + wallet) Rs</t>
        </is>
      </c>
      <c r="B16" t="n">
        <v>111116</v>
      </c>
      <c r="C16" t="n">
        <v>110867</v>
      </c>
    </row>
    <row r="17">
      <c r="A17" t="inlineStr">
        <is>
          <t>Change Rs</t>
        </is>
      </c>
      <c r="B17" t="n">
        <v>11116</v>
      </c>
      <c r="C17" t="n">
        <v>10867</v>
      </c>
    </row>
    <row r="18">
      <c r="A18" t="inlineStr">
        <is>
          <t>Change %</t>
        </is>
      </c>
      <c r="B18" t="n">
        <v>11.12</v>
      </c>
      <c r="C18" t="n">
        <v>10.87</v>
      </c>
    </row>
    <row r="19">
      <c r="A19" t="inlineStr">
        <is>
          <t>Yearly growth % (CAGR)</t>
        </is>
      </c>
      <c r="B19" t="n">
        <v>58.14</v>
      </c>
      <c r="C19" t="n">
        <v>56.61</v>
      </c>
    </row>
    <row r="20">
      <c r="A20" t="inlineStr">
        <is>
          <t>Highest total Rs</t>
        </is>
      </c>
      <c r="B20" t="inlineStr">
        <is>
          <t>111,116 on 2026-10-12</t>
        </is>
      </c>
      <c r="C20" t="inlineStr">
        <is>
          <t>110,867 on 2026-10-12</t>
        </is>
      </c>
    </row>
    <row r="21">
      <c r="A21" t="inlineStr">
        <is>
          <t>Lowest total Rs</t>
        </is>
      </c>
      <c r="B21" t="inlineStr">
        <is>
          <t>95,263 on 2026-08-21</t>
        </is>
      </c>
      <c r="C21" t="inlineStr">
        <is>
          <t>95,150 on 2026-08-21</t>
        </is>
      </c>
    </row>
    <row r="22">
      <c r="A22" t="inlineStr">
        <is>
          <t>Lowest trading capital Rs</t>
        </is>
      </c>
      <c r="B22" t="inlineStr">
        <is>
          <t>95,263 on 2026-08-21</t>
        </is>
      </c>
      <c r="C22" t="inlineStr">
        <is>
          <t>95,150 on 2026-08-21</t>
        </is>
      </c>
    </row>
    <row r="23">
      <c r="A23" t="inlineStr">
        <is>
          <t>Lots per trade (min / average / max)</t>
        </is>
      </c>
      <c r="B23" t="inlineStr">
        <is>
          <t>3 / 3.0 / 3</t>
        </is>
      </c>
      <c r="C23" t="inlineStr">
        <is>
          <t>3 / 3.0 / 3</t>
        </is>
      </c>
    </row>
  </sheetData>
  <autoFilter ref="A1:C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Year</t>
        </is>
      </c>
      <c r="B1" s="3" t="inlineStr">
        <is>
          <t>Trades</t>
        </is>
      </c>
      <c r="C1" s="3" t="inlineStr">
        <is>
          <t>Wins</t>
        </is>
      </c>
      <c r="D1" s="3" t="inlineStr">
        <is>
          <t>Win rate %</t>
        </is>
      </c>
      <c r="E1" s="3" t="inlineStr">
        <is>
          <t>Points</t>
        </is>
      </c>
      <c r="F1" s="3" t="inlineStr">
        <is>
          <t>R</t>
        </is>
      </c>
      <c r="G1" s="3" t="inlineStr">
        <is>
          <t>Option Rs</t>
        </is>
      </c>
      <c r="H1" s="3" t="inlineStr">
        <is>
          <t>Booked Rs</t>
        </is>
      </c>
      <c r="I1" s="3" t="inlineStr">
        <is>
          <t>Trading capital Rs</t>
        </is>
      </c>
      <c r="J1" s="3" t="inlineStr">
        <is>
          <t>Wallet Rs</t>
        </is>
      </c>
      <c r="K1" s="3" t="inlineStr">
        <is>
          <t>Total Rs</t>
        </is>
      </c>
    </row>
    <row r="2">
      <c r="A2" t="inlineStr">
        <is>
          <t>2026</t>
        </is>
      </c>
      <c r="B2" t="n">
        <v>12</v>
      </c>
      <c r="C2" t="n">
        <v>7</v>
      </c>
      <c r="D2" t="n">
        <v>58.3</v>
      </c>
      <c r="E2" s="4" t="n">
        <v>214.75</v>
      </c>
      <c r="F2" s="4" t="n">
        <v>2.97</v>
      </c>
      <c r="G2" s="5" t="n">
        <v>11117</v>
      </c>
      <c r="H2" s="6" t="n">
        <v>0</v>
      </c>
      <c r="I2" s="6" t="n">
        <v>111116</v>
      </c>
      <c r="J2" s="6" t="n">
        <v>0</v>
      </c>
      <c r="K2" s="6" t="n">
        <v>111116</v>
      </c>
    </row>
  </sheetData>
  <autoFilter ref="A1:K2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60" customWidth="1" min="29" max="29"/>
  </cols>
  <sheetData>
    <row r="1">
      <c r="A1" s="3" t="inlineStr">
        <is>
          <t>Date</t>
        </is>
      </c>
      <c r="B1" s="3" t="inlineStr">
        <is>
          <t>Side</t>
        </is>
      </c>
      <c r="C1" s="3" t="inlineStr">
        <is>
          <t>Entry time</t>
        </is>
      </c>
      <c r="D1" s="3" t="inlineStr">
        <is>
          <t>Entry</t>
        </is>
      </c>
      <c r="E1" s="3" t="inlineStr">
        <is>
          <t>Stop</t>
        </is>
      </c>
      <c r="F1" s="3" t="inlineStr">
        <is>
          <t>Target</t>
        </is>
      </c>
      <c r="G1" s="3" t="inlineStr">
        <is>
          <t>Risk pts</t>
        </is>
      </c>
      <c r="H1" s="3" t="inlineStr">
        <is>
          <t>Exit time</t>
        </is>
      </c>
      <c r="I1" s="3" t="inlineStr">
        <is>
          <t>Exit reason</t>
        </is>
      </c>
      <c r="J1" s="3" t="inlineStr">
        <is>
          <t>Exit</t>
        </is>
      </c>
      <c r="K1" s="3" t="inlineStr">
        <is>
          <t>Points</t>
        </is>
      </c>
      <c r="L1" s="3" t="inlineStr">
        <is>
          <t>R</t>
        </is>
      </c>
      <c r="M1" s="3" t="inlineStr">
        <is>
          <t>Option</t>
        </is>
      </c>
      <c r="N1" s="3" t="inlineStr">
        <is>
          <t>Expiry</t>
        </is>
      </c>
      <c r="O1" s="3" t="inlineStr">
        <is>
          <t>VIX</t>
        </is>
      </c>
      <c r="P1" s="3" t="inlineStr">
        <is>
          <t>Lot size</t>
        </is>
      </c>
      <c r="Q1" s="3" t="inlineStr">
        <is>
          <t>Premium in</t>
        </is>
      </c>
      <c r="R1" s="3" t="inlineStr">
        <is>
          <t>Premium at stop</t>
        </is>
      </c>
      <c r="S1" s="3" t="inlineStr">
        <is>
          <t>Premium out</t>
        </is>
      </c>
      <c r="T1" s="3" t="inlineStr">
        <is>
          <t>Lots</t>
        </is>
      </c>
      <c r="U1" s="3" t="inlineStr">
        <is>
          <t>Skipped</t>
        </is>
      </c>
      <c r="V1" s="3" t="inlineStr">
        <is>
          <t>Qty</t>
        </is>
      </c>
      <c r="W1" s="3" t="inlineStr">
        <is>
          <t>Futures Rs</t>
        </is>
      </c>
      <c r="X1" s="3" t="inlineStr">
        <is>
          <t>Option Rs</t>
        </is>
      </c>
      <c r="Y1" s="3" t="inlineStr">
        <is>
          <t>Booked Rs</t>
        </is>
      </c>
      <c r="Z1" s="3" t="inlineStr">
        <is>
          <t>Trading capital Rs</t>
        </is>
      </c>
      <c r="AA1" s="3" t="inlineStr">
        <is>
          <t>Wallet Rs</t>
        </is>
      </c>
      <c r="AB1" s="3" t="inlineStr">
        <is>
          <t>Total Rs</t>
        </is>
      </c>
      <c r="AC1" s="3" t="inlineStr">
        <is>
          <t>Why</t>
        </is>
      </c>
    </row>
    <row r="2">
      <c r="A2" t="inlineStr">
        <is>
          <t>2026-07-30</t>
        </is>
      </c>
      <c r="B2" t="inlineStr">
        <is>
          <t>Short</t>
        </is>
      </c>
      <c r="C2" t="inlineStr">
        <is>
          <t>10:15</t>
        </is>
      </c>
      <c r="D2" t="n">
        <v>24243.5</v>
      </c>
      <c r="E2" t="n">
        <v>24290.55</v>
      </c>
      <c r="F2" t="n">
        <v>24102.35</v>
      </c>
      <c r="G2" t="n">
        <v>47.05</v>
      </c>
      <c r="H2" t="inlineStr">
        <is>
          <t>12:35</t>
        </is>
      </c>
      <c r="I2" t="inlineStr">
        <is>
          <t>Stop</t>
        </is>
      </c>
      <c r="J2" t="n">
        <v>24290.55</v>
      </c>
      <c r="K2" s="7" t="n">
        <v>-47.05</v>
      </c>
      <c r="L2" s="7" t="n">
        <v>-1</v>
      </c>
      <c r="M2" t="inlineStr">
        <is>
          <t>24150 PE</t>
        </is>
      </c>
      <c r="N2" t="inlineStr">
        <is>
          <t>2026-08-04</t>
        </is>
      </c>
      <c r="O2" t="n">
        <v>12.01</v>
      </c>
      <c r="P2" t="n">
        <v>65</v>
      </c>
      <c r="Q2" t="n">
        <v>96.86</v>
      </c>
      <c r="R2" t="n">
        <v>77.81</v>
      </c>
      <c r="S2" t="n">
        <v>78.47</v>
      </c>
      <c r="T2" t="n">
        <v>3</v>
      </c>
      <c r="U2" t="inlineStr"/>
      <c r="V2" t="n">
        <v>195</v>
      </c>
      <c r="W2" s="8" t="n">
        <v>-9175</v>
      </c>
      <c r="X2" s="8" t="n">
        <v>-3663</v>
      </c>
      <c r="Y2" s="6" t="n">
        <v>0</v>
      </c>
      <c r="Z2" s="6" t="n">
        <v>96337</v>
      </c>
      <c r="AA2" s="6" t="n">
        <v>0</v>
      </c>
      <c r="AB2" s="6" t="n">
        <v>96337</v>
      </c>
      <c r="AC2" t="inlineStr">
        <is>
          <t>09:35 sweep: 5m high 24,287.25 above PDH 24,283.55 | 09:45 rejection: 15m close 24,256.25 back below PDH 24,283.55 | 10:15 structure break: 5m close 24,243.50 below 5m swing low 24,245.80 (09:40) | 10:15 entry: 5m close 24,243.50 below VWAP, below PDH 24,283.55 and below the open 24,250.40</t>
        </is>
      </c>
    </row>
    <row r="3">
      <c r="A3" t="inlineStr">
        <is>
          <t>2026-08-14</t>
        </is>
      </c>
      <c r="B3" t="inlineStr">
        <is>
          <t>Long</t>
        </is>
      </c>
      <c r="C3" t="inlineStr">
        <is>
          <t>13:50</t>
        </is>
      </c>
      <c r="D3" t="n">
        <v>24383.7</v>
      </c>
      <c r="E3" t="n">
        <v>24293.35</v>
      </c>
      <c r="F3" t="n">
        <v>24654.75</v>
      </c>
      <c r="G3" t="n">
        <v>90.34999999999999</v>
      </c>
      <c r="H3" t="inlineStr">
        <is>
          <t>15:10</t>
        </is>
      </c>
      <c r="I3" t="inlineStr">
        <is>
          <t>15:10</t>
        </is>
      </c>
      <c r="J3" t="n">
        <v>24371.05</v>
      </c>
      <c r="K3" s="7" t="n">
        <v>-12.65</v>
      </c>
      <c r="L3" s="7" t="n">
        <v>-0.14</v>
      </c>
      <c r="M3" t="inlineStr">
        <is>
          <t>24500 CE</t>
        </is>
      </c>
      <c r="N3" t="inlineStr">
        <is>
          <t>2026-08-18</t>
        </is>
      </c>
      <c r="O3" t="n">
        <v>11.42</v>
      </c>
      <c r="P3" t="n">
        <v>65</v>
      </c>
      <c r="Q3" t="n">
        <v>68.47</v>
      </c>
      <c r="R3" t="n">
        <v>40.16</v>
      </c>
      <c r="S3" t="n">
        <v>63.42</v>
      </c>
      <c r="T3" t="n">
        <v>3</v>
      </c>
      <c r="U3" t="inlineStr"/>
      <c r="V3" t="n">
        <v>195</v>
      </c>
      <c r="W3" s="8" t="n">
        <v>-2467</v>
      </c>
      <c r="X3" s="8" t="n">
        <v>-1055</v>
      </c>
      <c r="Y3" s="6" t="n">
        <v>0</v>
      </c>
      <c r="Z3" s="6" t="n">
        <v>95281</v>
      </c>
      <c r="AA3" s="6" t="n">
        <v>0</v>
      </c>
      <c r="AB3" s="6" t="n">
        <v>95281</v>
      </c>
      <c r="AC3" t="inlineStr">
        <is>
          <t>09:30 sweep: 5m low 24,307.20 below PDL 24,311.40 | 13:45 structure break: 15m close 24,357.35 above 15m swing high 24,354.65 (12:15) | 13:50 entry: 5m close 24,383.70 above VWAP, above PDL 24,311.40 and above the open 24,363.75</t>
        </is>
      </c>
    </row>
    <row r="4">
      <c r="A4" t="inlineStr">
        <is>
          <t>2026-08-21</t>
        </is>
      </c>
      <c r="B4" t="inlineStr">
        <is>
          <t>Short</t>
        </is>
      </c>
      <c r="C4" t="inlineStr">
        <is>
          <t>12:00</t>
        </is>
      </c>
      <c r="D4" t="n">
        <v>24239.3</v>
      </c>
      <c r="E4" t="n">
        <v>24272.65</v>
      </c>
      <c r="F4" t="n">
        <v>24139.25</v>
      </c>
      <c r="G4" t="n">
        <v>33.35</v>
      </c>
      <c r="H4" t="inlineStr">
        <is>
          <t>15:10</t>
        </is>
      </c>
      <c r="I4" t="inlineStr">
        <is>
          <t>15:10</t>
        </is>
      </c>
      <c r="J4" t="n">
        <v>24234.05</v>
      </c>
      <c r="K4" s="4" t="n">
        <v>5.25</v>
      </c>
      <c r="L4" s="4" t="n">
        <v>0.16</v>
      </c>
      <c r="M4" t="inlineStr">
        <is>
          <t>24150 PE</t>
        </is>
      </c>
      <c r="N4" t="inlineStr">
        <is>
          <t>2026-08-25</t>
        </is>
      </c>
      <c r="O4" t="n">
        <v>10.76</v>
      </c>
      <c r="P4" t="n">
        <v>65</v>
      </c>
      <c r="Q4" t="n">
        <v>71.72</v>
      </c>
      <c r="R4" t="n">
        <v>58.24</v>
      </c>
      <c r="S4" t="n">
        <v>72</v>
      </c>
      <c r="T4" t="n">
        <v>3</v>
      </c>
      <c r="U4" t="inlineStr"/>
      <c r="V4" t="n">
        <v>195</v>
      </c>
      <c r="W4" s="5" t="n">
        <v>1024</v>
      </c>
      <c r="X4" s="8" t="n">
        <v>-19</v>
      </c>
      <c r="Y4" s="6" t="n">
        <v>0</v>
      </c>
      <c r="Z4" s="6" t="n">
        <v>95263</v>
      </c>
      <c r="AA4" s="6" t="n">
        <v>0</v>
      </c>
      <c r="AB4" s="6" t="n">
        <v>95263</v>
      </c>
      <c r="AC4" t="inlineStr">
        <is>
          <t>09:20 sweep: 5m high 24,282.00 above PDH 24,265.15 | 09:30 rejection: 15m close 24,230.80 back below PDH 24,265.15 | 11:55 structure break: 5m close 24,245.25 below 5m swing low 24,248.15 (11:20) | 12:00 entry: 5m close 24,239.30 below VWAP, below PDH 24,265.15 and below the open 24,282.00</t>
        </is>
      </c>
    </row>
    <row r="5">
      <c r="A5" t="inlineStr">
        <is>
          <t>2026-08-24</t>
        </is>
      </c>
      <c r="B5" t="inlineStr">
        <is>
          <t>Short</t>
        </is>
      </c>
      <c r="C5" t="inlineStr">
        <is>
          <t>10:00</t>
        </is>
      </c>
      <c r="D5" t="n">
        <v>24268.2</v>
      </c>
      <c r="E5" t="n">
        <v>24317.85</v>
      </c>
      <c r="F5" t="n">
        <v>24119.25</v>
      </c>
      <c r="G5" t="n">
        <v>49.65</v>
      </c>
      <c r="H5" t="inlineStr">
        <is>
          <t>15:10</t>
        </is>
      </c>
      <c r="I5" t="inlineStr">
        <is>
          <t>15:10</t>
        </is>
      </c>
      <c r="J5" t="n">
        <v>24173.65</v>
      </c>
      <c r="K5" s="4" t="n">
        <v>94.55</v>
      </c>
      <c r="L5" s="4" t="n">
        <v>1.9</v>
      </c>
      <c r="M5" t="inlineStr">
        <is>
          <t>24150 PE</t>
        </is>
      </c>
      <c r="N5" t="inlineStr">
        <is>
          <t>2026-08-25</t>
        </is>
      </c>
      <c r="O5" t="n">
        <v>11.2</v>
      </c>
      <c r="P5" t="n">
        <v>65</v>
      </c>
      <c r="Q5" t="n">
        <v>20.6</v>
      </c>
      <c r="R5" t="n">
        <v>9.4</v>
      </c>
      <c r="S5" t="n">
        <v>45.85</v>
      </c>
      <c r="T5" t="n">
        <v>3</v>
      </c>
      <c r="U5" t="inlineStr"/>
      <c r="V5" t="n">
        <v>195</v>
      </c>
      <c r="W5" s="5" t="n">
        <v>18437</v>
      </c>
      <c r="X5" s="5" t="n">
        <v>4862</v>
      </c>
      <c r="Y5" s="6" t="n">
        <v>0</v>
      </c>
      <c r="Z5" s="6" t="n">
        <v>100125</v>
      </c>
      <c r="AA5" s="6" t="n">
        <v>0</v>
      </c>
      <c r="AB5" s="6" t="n">
        <v>100125</v>
      </c>
      <c r="AC5" t="inlineStr">
        <is>
          <t>09:20 sweep: 5m high 24,312.85 above PDH 24,284.05 | 09:45 rejection: 15m close 24,281.75 back below PDH 24,284.05 | 10:00 structure break: 5m close 24,268.20 below 5m swing low 24,272.55 (09:30) | 10:00 entry: 5m close 24,268.20 below VWAP, below PDH 24,284.05 and below the open 24,285.05</t>
        </is>
      </c>
    </row>
    <row r="6">
      <c r="A6" t="inlineStr">
        <is>
          <t>2026-08-26</t>
        </is>
      </c>
      <c r="B6" t="inlineStr">
        <is>
          <t>Short</t>
        </is>
      </c>
      <c r="C6" t="inlineStr">
        <is>
          <t>11:55</t>
        </is>
      </c>
      <c r="D6" t="n">
        <v>24285.15</v>
      </c>
      <c r="E6" t="n">
        <v>24383</v>
      </c>
      <c r="F6" t="n">
        <v>23991.6</v>
      </c>
      <c r="G6" t="n">
        <v>97.84999999999999</v>
      </c>
      <c r="H6" t="inlineStr">
        <is>
          <t>15:10</t>
        </is>
      </c>
      <c r="I6" t="inlineStr">
        <is>
          <t>15:10</t>
        </is>
      </c>
      <c r="J6" t="n">
        <v>24275.35</v>
      </c>
      <c r="K6" s="4" t="n">
        <v>9.800000000000001</v>
      </c>
      <c r="L6" s="4" t="n">
        <v>0.1</v>
      </c>
      <c r="M6" t="inlineStr">
        <is>
          <t>24200 PE</t>
        </is>
      </c>
      <c r="N6" t="inlineStr">
        <is>
          <t>2026-09-01</t>
        </is>
      </c>
      <c r="O6" t="n">
        <v>11.08</v>
      </c>
      <c r="P6" t="n">
        <v>65</v>
      </c>
      <c r="Q6" t="n">
        <v>100.64</v>
      </c>
      <c r="R6" t="n">
        <v>65.08</v>
      </c>
      <c r="S6" t="n">
        <v>103.12</v>
      </c>
      <c r="T6" t="n">
        <v>3</v>
      </c>
      <c r="U6" t="inlineStr"/>
      <c r="V6" t="n">
        <v>195</v>
      </c>
      <c r="W6" s="5" t="n">
        <v>1911</v>
      </c>
      <c r="X6" s="5" t="n">
        <v>399</v>
      </c>
      <c r="Y6" s="6" t="n">
        <v>0</v>
      </c>
      <c r="Z6" s="6" t="n">
        <v>100524</v>
      </c>
      <c r="AA6" s="6" t="n">
        <v>0</v>
      </c>
      <c r="AB6" s="6" t="n">
        <v>100524</v>
      </c>
      <c r="AC6" t="inlineStr">
        <is>
          <t>09:20 sweep: 5m high 24,355.35 above PDH 24,334.55 | 10:30 rejection: 15m close 24,304.60 back below PDH 24,334.55 | 11:55 structure break: 5m close 24,285.15 below 5m swing low 24,292.75 (11:30) | 11:55 entry: 5m close 24,285.15 below VWAP, below PDH 24,334.55 and below the open 24,343.05</t>
        </is>
      </c>
    </row>
    <row r="7">
      <c r="A7" t="inlineStr">
        <is>
          <t>2026-09-03</t>
        </is>
      </c>
      <c r="B7" t="inlineStr">
        <is>
          <t>Short</t>
        </is>
      </c>
      <c r="C7" t="inlineStr">
        <is>
          <t>12:35</t>
        </is>
      </c>
      <c r="D7" t="n">
        <v>23909.25</v>
      </c>
      <c r="E7" t="n">
        <v>23983</v>
      </c>
      <c r="F7" t="n">
        <v>23688</v>
      </c>
      <c r="G7" t="n">
        <v>73.75</v>
      </c>
      <c r="H7" t="inlineStr">
        <is>
          <t>15:10</t>
        </is>
      </c>
      <c r="I7" t="inlineStr">
        <is>
          <t>15:10</t>
        </is>
      </c>
      <c r="J7" t="n">
        <v>23887.95</v>
      </c>
      <c r="K7" s="4" t="n">
        <v>21.3</v>
      </c>
      <c r="L7" s="4" t="n">
        <v>0.29</v>
      </c>
      <c r="M7" t="inlineStr">
        <is>
          <t>23800 PE</t>
        </is>
      </c>
      <c r="N7" t="inlineStr">
        <is>
          <t>2026-09-08</t>
        </is>
      </c>
      <c r="O7" t="n">
        <v>11.59</v>
      </c>
      <c r="P7" t="n">
        <v>65</v>
      </c>
      <c r="Q7" t="n">
        <v>83.23</v>
      </c>
      <c r="R7" t="n">
        <v>57.56</v>
      </c>
      <c r="S7" t="n">
        <v>89.97</v>
      </c>
      <c r="T7" t="n">
        <v>3</v>
      </c>
      <c r="U7" t="inlineStr"/>
      <c r="V7" t="n">
        <v>195</v>
      </c>
      <c r="W7" s="5" t="n">
        <v>4154</v>
      </c>
      <c r="X7" s="5" t="n">
        <v>1235</v>
      </c>
      <c r="Y7" s="6" t="n">
        <v>0</v>
      </c>
      <c r="Z7" s="6" t="n">
        <v>101759</v>
      </c>
      <c r="AA7" s="6" t="n">
        <v>0</v>
      </c>
      <c r="AB7" s="6" t="n">
        <v>101759</v>
      </c>
      <c r="AC7" t="inlineStr">
        <is>
          <t>09:20 sweep: 5m high 24,018.85 above PDH 23,914.45 | 12:30 rejection: 15m close 23,908.55 back below PDH 23,914.45 | 12:35 structure break: 5m close 23,909.25 below 5m swing low 23,920.65 (11:15) | 12:35 entry: 5m close 23,909.25 below VWAP, below PDH 23,914.45 and below the open 23,997.95</t>
        </is>
      </c>
    </row>
    <row r="8">
      <c r="A8" t="inlineStr">
        <is>
          <t>2026-09-10</t>
        </is>
      </c>
      <c r="B8" t="inlineStr">
        <is>
          <t>Long</t>
        </is>
      </c>
      <c r="C8" t="inlineStr">
        <is>
          <t>12:15</t>
        </is>
      </c>
      <c r="D8" t="n">
        <v>23458.45</v>
      </c>
      <c r="E8" t="n">
        <v>23400.35</v>
      </c>
      <c r="F8" t="n">
        <v>23632.75</v>
      </c>
      <c r="G8" t="n">
        <v>58.1</v>
      </c>
      <c r="H8" t="inlineStr">
        <is>
          <t>14:45</t>
        </is>
      </c>
      <c r="I8" t="inlineStr">
        <is>
          <t>Stop</t>
        </is>
      </c>
      <c r="J8" t="n">
        <v>23400.35</v>
      </c>
      <c r="K8" s="7" t="n">
        <v>-58.1</v>
      </c>
      <c r="L8" s="7" t="n">
        <v>-1</v>
      </c>
      <c r="M8" t="inlineStr">
        <is>
          <t>23550 CE</t>
        </is>
      </c>
      <c r="N8" t="inlineStr">
        <is>
          <t>2026-09-15</t>
        </is>
      </c>
      <c r="O8" t="n">
        <v>11.92</v>
      </c>
      <c r="P8" t="n">
        <v>65</v>
      </c>
      <c r="Q8" t="n">
        <v>91.8</v>
      </c>
      <c r="R8" t="n">
        <v>69.06999999999999</v>
      </c>
      <c r="S8" t="n">
        <v>69.61</v>
      </c>
      <c r="T8" t="n">
        <v>3</v>
      </c>
      <c r="U8" t="inlineStr"/>
      <c r="V8" t="n">
        <v>195</v>
      </c>
      <c r="W8" s="8" t="n">
        <v>-11330</v>
      </c>
      <c r="X8" s="8" t="n">
        <v>-4401</v>
      </c>
      <c r="Y8" s="6" t="n">
        <v>0</v>
      </c>
      <c r="Z8" s="6" t="n">
        <v>97358</v>
      </c>
      <c r="AA8" s="6" t="n">
        <v>0</v>
      </c>
      <c r="AB8" s="6" t="n">
        <v>97358</v>
      </c>
      <c r="AC8" t="inlineStr">
        <is>
          <t>09:25 sweep: 5m low 23,414.40 below PDL 23,431.50 | 12:15 structure break: 15m close 23,458.45 above 15m swing high 23,451.35 (10:45) | 12:15 entry: 5m close 23,458.45 above VWAP, above PDL 23,431.50 and above the open 23,446.60</t>
        </is>
      </c>
    </row>
    <row r="9">
      <c r="A9" t="inlineStr">
        <is>
          <t>2026-09-11</t>
        </is>
      </c>
      <c r="B9" t="inlineStr">
        <is>
          <t>Long</t>
        </is>
      </c>
      <c r="C9" t="inlineStr">
        <is>
          <t>14:00</t>
        </is>
      </c>
      <c r="D9" t="n">
        <v>23386.15</v>
      </c>
      <c r="E9" t="n">
        <v>23318.75</v>
      </c>
      <c r="F9" t="n">
        <v>23588.35</v>
      </c>
      <c r="G9" t="n">
        <v>67.40000000000001</v>
      </c>
      <c r="H9" t="inlineStr">
        <is>
          <t>15:10</t>
        </is>
      </c>
      <c r="I9" t="inlineStr">
        <is>
          <t>15:10</t>
        </is>
      </c>
      <c r="J9" t="n">
        <v>23413.95</v>
      </c>
      <c r="K9" s="4" t="n">
        <v>27.8</v>
      </c>
      <c r="L9" s="4" t="n">
        <v>0.41</v>
      </c>
      <c r="M9" t="inlineStr">
        <is>
          <t>23500 CE</t>
        </is>
      </c>
      <c r="N9" t="inlineStr">
        <is>
          <t>2026-09-15</t>
        </is>
      </c>
      <c r="O9" t="n">
        <v>11.8</v>
      </c>
      <c r="P9" t="n">
        <v>65</v>
      </c>
      <c r="Q9" t="n">
        <v>68.25</v>
      </c>
      <c r="R9" t="n">
        <v>45.64</v>
      </c>
      <c r="S9" t="n">
        <v>77.81999999999999</v>
      </c>
      <c r="T9" t="n">
        <v>3</v>
      </c>
      <c r="U9" t="inlineStr"/>
      <c r="V9" t="n">
        <v>195</v>
      </c>
      <c r="W9" s="5" t="n">
        <v>5421</v>
      </c>
      <c r="X9" s="5" t="n">
        <v>1792</v>
      </c>
      <c r="Y9" s="6" t="n">
        <v>0</v>
      </c>
      <c r="Z9" s="6" t="n">
        <v>99149</v>
      </c>
      <c r="AA9" s="6" t="n">
        <v>0</v>
      </c>
      <c r="AB9" s="6" t="n">
        <v>99149</v>
      </c>
      <c r="AC9" t="inlineStr">
        <is>
          <t>09:20 sweep: 5m low 23,232.25 below PDL 23,380.10 | 14:00 structure break: 15m close 23,386.15 above 15m swing high 23,360.75 (12:30) | 14:00 entry: 5m close 23,386.15 above VWAP, above PDL 23,380.10 and above the open 23,270.90</t>
        </is>
      </c>
    </row>
    <row r="10">
      <c r="A10" t="inlineStr">
        <is>
          <t>2026-09-25</t>
        </is>
      </c>
      <c r="B10" t="inlineStr">
        <is>
          <t>Long</t>
        </is>
      </c>
      <c r="C10" t="inlineStr">
        <is>
          <t>14:15</t>
        </is>
      </c>
      <c r="D10" t="n">
        <v>23116.3</v>
      </c>
      <c r="E10" t="n">
        <v>23022.25</v>
      </c>
      <c r="F10" t="n">
        <v>23398.45</v>
      </c>
      <c r="G10" t="n">
        <v>94.05</v>
      </c>
      <c r="H10" t="inlineStr">
        <is>
          <t>15:10</t>
        </is>
      </c>
      <c r="I10" t="inlineStr">
        <is>
          <t>15:10</t>
        </is>
      </c>
      <c r="J10" t="n">
        <v>23107.9</v>
      </c>
      <c r="K10" s="7" t="n">
        <v>-8.4</v>
      </c>
      <c r="L10" s="7" t="n">
        <v>-0.09</v>
      </c>
      <c r="M10" t="inlineStr">
        <is>
          <t>23200 CE</t>
        </is>
      </c>
      <c r="N10" t="inlineStr">
        <is>
          <t>2026-09-29</t>
        </is>
      </c>
      <c r="O10" t="n">
        <v>12.69</v>
      </c>
      <c r="P10" t="n">
        <v>65</v>
      </c>
      <c r="Q10" t="n">
        <v>86.16</v>
      </c>
      <c r="R10" t="n">
        <v>52.31</v>
      </c>
      <c r="S10" t="n">
        <v>82.31999999999999</v>
      </c>
      <c r="T10" t="n">
        <v>3</v>
      </c>
      <c r="U10" t="inlineStr"/>
      <c r="V10" t="n">
        <v>195</v>
      </c>
      <c r="W10" s="8" t="n">
        <v>-1638</v>
      </c>
      <c r="X10" s="8" t="n">
        <v>-826</v>
      </c>
      <c r="Y10" s="6" t="n">
        <v>0</v>
      </c>
      <c r="Z10" s="6" t="n">
        <v>98323</v>
      </c>
      <c r="AA10" s="6" t="n">
        <v>0</v>
      </c>
      <c r="AB10" s="6" t="n">
        <v>98323</v>
      </c>
      <c r="AC10" t="inlineStr">
        <is>
          <t>09:20 sweep: 5m low 23,032.95 below PDL 23,046.15 | 14:15 structure break: 15m close 23,116.30 above 15m swing high 23,089.85 (12:30) | 14:15 entry: 5m close 23,116.30 above VWAP, above PDL 23,046.15 and above the open 23,035.00</t>
        </is>
      </c>
    </row>
    <row r="11">
      <c r="A11" t="inlineStr">
        <is>
          <t>2026-09-30</t>
        </is>
      </c>
      <c r="B11" t="inlineStr">
        <is>
          <t>Short</t>
        </is>
      </c>
      <c r="C11" t="inlineStr">
        <is>
          <t>14:25</t>
        </is>
      </c>
      <c r="D11" t="n">
        <v>22664.85</v>
      </c>
      <c r="E11" t="n">
        <v>22814.3</v>
      </c>
      <c r="F11" t="n">
        <v>22216.5</v>
      </c>
      <c r="G11" t="n">
        <v>149.45</v>
      </c>
      <c r="H11" t="inlineStr">
        <is>
          <t>15:10</t>
        </is>
      </c>
      <c r="I11" t="inlineStr">
        <is>
          <t>15:10</t>
        </is>
      </c>
      <c r="J11" t="n">
        <v>22624.3</v>
      </c>
      <c r="K11" s="4" t="n">
        <v>40.55</v>
      </c>
      <c r="L11" s="4" t="n">
        <v>0.27</v>
      </c>
      <c r="M11" t="inlineStr">
        <is>
          <t>22550 PE</t>
        </is>
      </c>
      <c r="N11" t="inlineStr">
        <is>
          <t>2026-10-06</t>
        </is>
      </c>
      <c r="O11" t="n">
        <v>13.41</v>
      </c>
      <c r="P11" t="n">
        <v>65</v>
      </c>
      <c r="Q11" t="n">
        <v>104.92</v>
      </c>
      <c r="R11" t="n">
        <v>56.77</v>
      </c>
      <c r="S11" t="n">
        <v>120.78</v>
      </c>
      <c r="T11" t="n">
        <v>3</v>
      </c>
      <c r="U11" t="inlineStr"/>
      <c r="V11" t="n">
        <v>195</v>
      </c>
      <c r="W11" s="5" t="n">
        <v>7907</v>
      </c>
      <c r="X11" s="5" t="n">
        <v>3003</v>
      </c>
      <c r="Y11" s="6" t="n">
        <v>0</v>
      </c>
      <c r="Z11" s="6" t="n">
        <v>101326</v>
      </c>
      <c r="AA11" s="6" t="n">
        <v>0</v>
      </c>
      <c r="AB11" s="6" t="n">
        <v>101326</v>
      </c>
      <c r="AC11" t="inlineStr">
        <is>
          <t>10:15 sweep: 5m high 22,755.75 above PDH 22,753.25 | 10:45 rejection: 15m close 22,702.75 back below PDH 22,753.25 | 11:20 structure break: 5m close 22,680.35 below 5m swing low 22,685.65 (10:55) | 14:25 entry: 5m close 22,664.85 below VWAP, below PDH 22,753.25 and below the open 22,664.95</t>
        </is>
      </c>
    </row>
    <row r="12">
      <c r="A12" t="inlineStr">
        <is>
          <t>2026-10-05</t>
        </is>
      </c>
      <c r="B12" t="inlineStr">
        <is>
          <t>Short</t>
        </is>
      </c>
      <c r="C12" t="inlineStr">
        <is>
          <t>10:25</t>
        </is>
      </c>
      <c r="D12" t="n">
        <v>22504.85</v>
      </c>
      <c r="E12" t="n">
        <v>22626.8</v>
      </c>
      <c r="F12" t="n">
        <v>22139</v>
      </c>
      <c r="G12" t="n">
        <v>121.95</v>
      </c>
      <c r="H12" t="inlineStr">
        <is>
          <t>15:10</t>
        </is>
      </c>
      <c r="I12" t="inlineStr">
        <is>
          <t>15:10</t>
        </is>
      </c>
      <c r="J12" t="n">
        <v>22521.3</v>
      </c>
      <c r="K12" s="7" t="n">
        <v>-16.45</v>
      </c>
      <c r="L12" s="7" t="n">
        <v>-0.13</v>
      </c>
      <c r="M12" t="inlineStr">
        <is>
          <t>22400 PE</t>
        </is>
      </c>
      <c r="N12" t="inlineStr">
        <is>
          <t>2026-10-06</t>
        </is>
      </c>
      <c r="O12" t="n">
        <v>14.46</v>
      </c>
      <c r="P12" t="n">
        <v>65</v>
      </c>
      <c r="Q12" t="n">
        <v>33.63</v>
      </c>
      <c r="R12" t="n">
        <v>8.140000000000001</v>
      </c>
      <c r="S12" t="n">
        <v>24.1</v>
      </c>
      <c r="T12" t="n">
        <v>3</v>
      </c>
      <c r="U12" t="inlineStr"/>
      <c r="V12" t="n">
        <v>195</v>
      </c>
      <c r="W12" s="8" t="n">
        <v>-3208</v>
      </c>
      <c r="X12" s="8" t="n">
        <v>-1915</v>
      </c>
      <c r="Y12" s="6" t="n">
        <v>0</v>
      </c>
      <c r="Z12" s="6" t="n">
        <v>99411</v>
      </c>
      <c r="AA12" s="6" t="n">
        <v>0</v>
      </c>
      <c r="AB12" s="6" t="n">
        <v>99411</v>
      </c>
      <c r="AC12" t="inlineStr">
        <is>
          <t>09:50 sweep: 5m high 22,615.50 above PDH 22,610.60 | 10:00 rejection: 15m close 22,567.05 back below PDH 22,610.60 | 10:25 structure break: 5m close 22,504.85 below 5m swing low 22,531.95 (10:05) | 10:25 entry: 5m close 22,504.85 below VWAP, below PDH 22,610.60 and below the open 22,532.40</t>
        </is>
      </c>
    </row>
    <row r="13">
      <c r="A13" t="inlineStr">
        <is>
          <t>2026-10-12</t>
        </is>
      </c>
      <c r="B13" t="inlineStr">
        <is>
          <t>Short</t>
        </is>
      </c>
      <c r="C13" t="inlineStr">
        <is>
          <t>10:30</t>
        </is>
      </c>
      <c r="D13" t="n">
        <v>22466.8</v>
      </c>
      <c r="E13" t="n">
        <v>22538.7</v>
      </c>
      <c r="F13" t="n">
        <v>22251.1</v>
      </c>
      <c r="G13" t="n">
        <v>71.90000000000001</v>
      </c>
      <c r="H13" t="inlineStr">
        <is>
          <t>15:10</t>
        </is>
      </c>
      <c r="I13" t="inlineStr">
        <is>
          <t>15:10</t>
        </is>
      </c>
      <c r="J13" t="n">
        <v>22308.65</v>
      </c>
      <c r="K13" s="4" t="n">
        <v>158.15</v>
      </c>
      <c r="L13" s="4" t="n">
        <v>2.2</v>
      </c>
      <c r="M13" t="inlineStr">
        <is>
          <t>22350 PE</t>
        </is>
      </c>
      <c r="N13" t="inlineStr">
        <is>
          <t>2026-10-13</t>
        </is>
      </c>
      <c r="O13" t="n">
        <v>14.38</v>
      </c>
      <c r="P13" t="n">
        <v>65</v>
      </c>
      <c r="Q13" t="n">
        <v>29.78</v>
      </c>
      <c r="R13" t="n">
        <v>12.26</v>
      </c>
      <c r="S13" t="n">
        <v>90.19</v>
      </c>
      <c r="T13" t="n">
        <v>3</v>
      </c>
      <c r="U13" t="inlineStr"/>
      <c r="V13" t="n">
        <v>195</v>
      </c>
      <c r="W13" s="5" t="n">
        <v>30839</v>
      </c>
      <c r="X13" s="5" t="n">
        <v>11705</v>
      </c>
      <c r="Y13" s="6" t="n">
        <v>0</v>
      </c>
      <c r="Z13" s="6" t="n">
        <v>111116</v>
      </c>
      <c r="AA13" s="6" t="n">
        <v>0</v>
      </c>
      <c r="AB13" s="6" t="n">
        <v>111116</v>
      </c>
      <c r="AC13" t="inlineStr">
        <is>
          <t>09:20 sweep: 5m high 22,650.55 above PDH 22,580.75 | 09:45 rejection: 15m close 22,511.90 back below PDH 22,580.75 | 10:30 structure break: 5m close 22,466.80 below 5m swing low 22,472.15 (09:50) | 10:30 entry: 5m close 22,466.80 below VWAP, below PDH 22,580.75 and below the open 22,593.20</t>
        </is>
      </c>
    </row>
  </sheetData>
  <autoFilter ref="A1:A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Trades</t>
        </is>
      </c>
      <c r="C1" s="3" t="inlineStr">
        <is>
          <t>Points</t>
        </is>
      </c>
      <c r="D1" s="3" t="inlineStr">
        <is>
          <t>Option Rs</t>
        </is>
      </c>
      <c r="E1" s="3" t="inlineStr">
        <is>
          <t>Booked Rs</t>
        </is>
      </c>
      <c r="F1" s="3" t="inlineStr">
        <is>
          <t>Trading capital Rs</t>
        </is>
      </c>
      <c r="G1" s="3" t="inlineStr">
        <is>
          <t>Wallet Rs</t>
        </is>
      </c>
      <c r="H1" s="3" t="inlineStr">
        <is>
          <t>Total Rs</t>
        </is>
      </c>
    </row>
    <row r="2">
      <c r="A2" t="inlineStr">
        <is>
          <t>2026-07-21</t>
        </is>
      </c>
      <c r="B2" t="n">
        <v>0</v>
      </c>
      <c r="C2" s="2" t="n">
        <v>0</v>
      </c>
      <c r="D2" s="9" t="n">
        <v>0</v>
      </c>
      <c r="E2" s="6" t="n">
        <v>0</v>
      </c>
      <c r="F2" s="6" t="n">
        <v>100000</v>
      </c>
      <c r="G2" s="6" t="n">
        <v>0</v>
      </c>
      <c r="H2" s="6" t="n">
        <v>100000</v>
      </c>
    </row>
    <row r="3">
      <c r="A3" t="inlineStr">
        <is>
          <t>2026-07-22</t>
        </is>
      </c>
      <c r="B3" t="n">
        <v>0</v>
      </c>
      <c r="C3" s="2" t="n">
        <v>0</v>
      </c>
      <c r="D3" s="9" t="n">
        <v>0</v>
      </c>
      <c r="E3" s="6" t="n">
        <v>0</v>
      </c>
      <c r="F3" s="6" t="n">
        <v>100000</v>
      </c>
      <c r="G3" s="6" t="n">
        <v>0</v>
      </c>
      <c r="H3" s="6" t="n">
        <v>100000</v>
      </c>
    </row>
    <row r="4">
      <c r="A4" t="inlineStr">
        <is>
          <t>2026-07-23</t>
        </is>
      </c>
      <c r="B4" t="n">
        <v>0</v>
      </c>
      <c r="C4" s="2" t="n">
        <v>0</v>
      </c>
      <c r="D4" s="9" t="n">
        <v>0</v>
      </c>
      <c r="E4" s="6" t="n">
        <v>0</v>
      </c>
      <c r="F4" s="6" t="n">
        <v>100000</v>
      </c>
      <c r="G4" s="6" t="n">
        <v>0</v>
      </c>
      <c r="H4" s="6" t="n">
        <v>100000</v>
      </c>
    </row>
    <row r="5">
      <c r="A5" t="inlineStr">
        <is>
          <t>2026-07-24</t>
        </is>
      </c>
      <c r="B5" t="n">
        <v>0</v>
      </c>
      <c r="C5" s="2" t="n">
        <v>0</v>
      </c>
      <c r="D5" s="9" t="n">
        <v>0</v>
      </c>
      <c r="E5" s="6" t="n">
        <v>0</v>
      </c>
      <c r="F5" s="6" t="n">
        <v>100000</v>
      </c>
      <c r="G5" s="6" t="n">
        <v>0</v>
      </c>
      <c r="H5" s="6" t="n">
        <v>100000</v>
      </c>
    </row>
    <row r="6">
      <c r="A6" t="inlineStr">
        <is>
          <t>2026-07-27</t>
        </is>
      </c>
      <c r="B6" t="n">
        <v>0</v>
      </c>
      <c r="C6" s="2" t="n">
        <v>0</v>
      </c>
      <c r="D6" s="9" t="n">
        <v>0</v>
      </c>
      <c r="E6" s="6" t="n">
        <v>0</v>
      </c>
      <c r="F6" s="6" t="n">
        <v>100000</v>
      </c>
      <c r="G6" s="6" t="n">
        <v>0</v>
      </c>
      <c r="H6" s="6" t="n">
        <v>100000</v>
      </c>
    </row>
    <row r="7">
      <c r="A7" t="inlineStr">
        <is>
          <t>2026-07-28</t>
        </is>
      </c>
      <c r="B7" t="n">
        <v>0</v>
      </c>
      <c r="C7" s="2" t="n">
        <v>0</v>
      </c>
      <c r="D7" s="9" t="n">
        <v>0</v>
      </c>
      <c r="E7" s="6" t="n">
        <v>0</v>
      </c>
      <c r="F7" s="6" t="n">
        <v>100000</v>
      </c>
      <c r="G7" s="6" t="n">
        <v>0</v>
      </c>
      <c r="H7" s="6" t="n">
        <v>100000</v>
      </c>
    </row>
    <row r="8">
      <c r="A8" t="inlineStr">
        <is>
          <t>2026-07-29</t>
        </is>
      </c>
      <c r="B8" t="n">
        <v>0</v>
      </c>
      <c r="C8" s="2" t="n">
        <v>0</v>
      </c>
      <c r="D8" s="9" t="n">
        <v>0</v>
      </c>
      <c r="E8" s="6" t="n">
        <v>0</v>
      </c>
      <c r="F8" s="6" t="n">
        <v>100000</v>
      </c>
      <c r="G8" s="6" t="n">
        <v>0</v>
      </c>
      <c r="H8" s="6" t="n">
        <v>100000</v>
      </c>
    </row>
    <row r="9">
      <c r="A9" t="inlineStr">
        <is>
          <t>2026-07-30</t>
        </is>
      </c>
      <c r="B9" t="n">
        <v>1</v>
      </c>
      <c r="C9" s="7" t="n">
        <v>-47.05</v>
      </c>
      <c r="D9" s="8" t="n">
        <v>-3663</v>
      </c>
      <c r="E9" s="6" t="n">
        <v>0</v>
      </c>
      <c r="F9" s="6" t="n">
        <v>96337</v>
      </c>
      <c r="G9" s="6" t="n">
        <v>0</v>
      </c>
      <c r="H9" s="6" t="n">
        <v>96337</v>
      </c>
    </row>
    <row r="10">
      <c r="A10" t="inlineStr">
        <is>
          <t>2026-07-31</t>
        </is>
      </c>
      <c r="B10" t="n">
        <v>0</v>
      </c>
      <c r="C10" s="2" t="n">
        <v>0</v>
      </c>
      <c r="D10" s="9" t="n">
        <v>0</v>
      </c>
      <c r="E10" s="6" t="n">
        <v>0</v>
      </c>
      <c r="F10" s="6" t="n">
        <v>96337</v>
      </c>
      <c r="G10" s="6" t="n">
        <v>0</v>
      </c>
      <c r="H10" s="6" t="n">
        <v>96337</v>
      </c>
    </row>
    <row r="11">
      <c r="A11" t="inlineStr">
        <is>
          <t>2026-08-03</t>
        </is>
      </c>
      <c r="B11" t="n">
        <v>0</v>
      </c>
      <c r="C11" s="2" t="n">
        <v>0</v>
      </c>
      <c r="D11" s="9" t="n">
        <v>0</v>
      </c>
      <c r="E11" s="6" t="n">
        <v>0</v>
      </c>
      <c r="F11" s="6" t="n">
        <v>96337</v>
      </c>
      <c r="G11" s="6" t="n">
        <v>0</v>
      </c>
      <c r="H11" s="6" t="n">
        <v>96337</v>
      </c>
    </row>
    <row r="12">
      <c r="A12" t="inlineStr">
        <is>
          <t>2026-08-04</t>
        </is>
      </c>
      <c r="B12" t="n">
        <v>0</v>
      </c>
      <c r="C12" s="2" t="n">
        <v>0</v>
      </c>
      <c r="D12" s="9" t="n">
        <v>0</v>
      </c>
      <c r="E12" s="6" t="n">
        <v>0</v>
      </c>
      <c r="F12" s="6" t="n">
        <v>96337</v>
      </c>
      <c r="G12" s="6" t="n">
        <v>0</v>
      </c>
      <c r="H12" s="6" t="n">
        <v>96337</v>
      </c>
    </row>
    <row r="13">
      <c r="A13" t="inlineStr">
        <is>
          <t>2026-08-05</t>
        </is>
      </c>
      <c r="B13" t="n">
        <v>0</v>
      </c>
      <c r="C13" s="2" t="n">
        <v>0</v>
      </c>
      <c r="D13" s="9" t="n">
        <v>0</v>
      </c>
      <c r="E13" s="6" t="n">
        <v>0</v>
      </c>
      <c r="F13" s="6" t="n">
        <v>96337</v>
      </c>
      <c r="G13" s="6" t="n">
        <v>0</v>
      </c>
      <c r="H13" s="6" t="n">
        <v>96337</v>
      </c>
    </row>
    <row r="14">
      <c r="A14" t="inlineStr">
        <is>
          <t>2026-08-06</t>
        </is>
      </c>
      <c r="B14" t="n">
        <v>0</v>
      </c>
      <c r="C14" s="2" t="n">
        <v>0</v>
      </c>
      <c r="D14" s="9" t="n">
        <v>0</v>
      </c>
      <c r="E14" s="6" t="n">
        <v>0</v>
      </c>
      <c r="F14" s="6" t="n">
        <v>96337</v>
      </c>
      <c r="G14" s="6" t="n">
        <v>0</v>
      </c>
      <c r="H14" s="6" t="n">
        <v>96337</v>
      </c>
    </row>
    <row r="15">
      <c r="A15" t="inlineStr">
        <is>
          <t>2026-08-07</t>
        </is>
      </c>
      <c r="B15" t="n">
        <v>0</v>
      </c>
      <c r="C15" s="2" t="n">
        <v>0</v>
      </c>
      <c r="D15" s="9" t="n">
        <v>0</v>
      </c>
      <c r="E15" s="6" t="n">
        <v>0</v>
      </c>
      <c r="F15" s="6" t="n">
        <v>96337</v>
      </c>
      <c r="G15" s="6" t="n">
        <v>0</v>
      </c>
      <c r="H15" s="6" t="n">
        <v>96337</v>
      </c>
    </row>
    <row r="16">
      <c r="A16" t="inlineStr">
        <is>
          <t>2026-08-10</t>
        </is>
      </c>
      <c r="B16" t="n">
        <v>0</v>
      </c>
      <c r="C16" s="2" t="n">
        <v>0</v>
      </c>
      <c r="D16" s="9" t="n">
        <v>0</v>
      </c>
      <c r="E16" s="6" t="n">
        <v>0</v>
      </c>
      <c r="F16" s="6" t="n">
        <v>96337</v>
      </c>
      <c r="G16" s="6" t="n">
        <v>0</v>
      </c>
      <c r="H16" s="6" t="n">
        <v>96337</v>
      </c>
    </row>
    <row r="17">
      <c r="A17" t="inlineStr">
        <is>
          <t>2026-08-11</t>
        </is>
      </c>
      <c r="B17" t="n">
        <v>0</v>
      </c>
      <c r="C17" s="2" t="n">
        <v>0</v>
      </c>
      <c r="D17" s="9" t="n">
        <v>0</v>
      </c>
      <c r="E17" s="6" t="n">
        <v>0</v>
      </c>
      <c r="F17" s="6" t="n">
        <v>96337</v>
      </c>
      <c r="G17" s="6" t="n">
        <v>0</v>
      </c>
      <c r="H17" s="6" t="n">
        <v>96337</v>
      </c>
    </row>
    <row r="18">
      <c r="A18" t="inlineStr">
        <is>
          <t>2026-08-12</t>
        </is>
      </c>
      <c r="B18" t="n">
        <v>0</v>
      </c>
      <c r="C18" s="2" t="n">
        <v>0</v>
      </c>
      <c r="D18" s="9" t="n">
        <v>0</v>
      </c>
      <c r="E18" s="6" t="n">
        <v>0</v>
      </c>
      <c r="F18" s="6" t="n">
        <v>96337</v>
      </c>
      <c r="G18" s="6" t="n">
        <v>0</v>
      </c>
      <c r="H18" s="6" t="n">
        <v>96337</v>
      </c>
    </row>
    <row r="19">
      <c r="A19" t="inlineStr">
        <is>
          <t>2026-08-13</t>
        </is>
      </c>
      <c r="B19" t="n">
        <v>0</v>
      </c>
      <c r="C19" s="2" t="n">
        <v>0</v>
      </c>
      <c r="D19" s="9" t="n">
        <v>0</v>
      </c>
      <c r="E19" s="6" t="n">
        <v>0</v>
      </c>
      <c r="F19" s="6" t="n">
        <v>96337</v>
      </c>
      <c r="G19" s="6" t="n">
        <v>0</v>
      </c>
      <c r="H19" s="6" t="n">
        <v>96337</v>
      </c>
    </row>
    <row r="20">
      <c r="A20" t="inlineStr">
        <is>
          <t>2026-08-14</t>
        </is>
      </c>
      <c r="B20" t="n">
        <v>1</v>
      </c>
      <c r="C20" s="7" t="n">
        <v>-12.65</v>
      </c>
      <c r="D20" s="8" t="n">
        <v>-1055</v>
      </c>
      <c r="E20" s="6" t="n">
        <v>0</v>
      </c>
      <c r="F20" s="6" t="n">
        <v>95281</v>
      </c>
      <c r="G20" s="6" t="n">
        <v>0</v>
      </c>
      <c r="H20" s="6" t="n">
        <v>95281</v>
      </c>
    </row>
    <row r="21">
      <c r="A21" t="inlineStr">
        <is>
          <t>2026-08-17</t>
        </is>
      </c>
      <c r="B21" t="n">
        <v>0</v>
      </c>
      <c r="C21" s="2" t="n">
        <v>0</v>
      </c>
      <c r="D21" s="9" t="n">
        <v>0</v>
      </c>
      <c r="E21" s="6" t="n">
        <v>0</v>
      </c>
      <c r="F21" s="6" t="n">
        <v>95281</v>
      </c>
      <c r="G21" s="6" t="n">
        <v>0</v>
      </c>
      <c r="H21" s="6" t="n">
        <v>95281</v>
      </c>
    </row>
    <row r="22">
      <c r="A22" t="inlineStr">
        <is>
          <t>2026-08-18</t>
        </is>
      </c>
      <c r="B22" t="n">
        <v>0</v>
      </c>
      <c r="C22" s="2" t="n">
        <v>0</v>
      </c>
      <c r="D22" s="9" t="n">
        <v>0</v>
      </c>
      <c r="E22" s="6" t="n">
        <v>0</v>
      </c>
      <c r="F22" s="6" t="n">
        <v>95281</v>
      </c>
      <c r="G22" s="6" t="n">
        <v>0</v>
      </c>
      <c r="H22" s="6" t="n">
        <v>95281</v>
      </c>
    </row>
    <row r="23">
      <c r="A23" t="inlineStr">
        <is>
          <t>2026-08-19</t>
        </is>
      </c>
      <c r="B23" t="n">
        <v>0</v>
      </c>
      <c r="C23" s="2" t="n">
        <v>0</v>
      </c>
      <c r="D23" s="9" t="n">
        <v>0</v>
      </c>
      <c r="E23" s="6" t="n">
        <v>0</v>
      </c>
      <c r="F23" s="6" t="n">
        <v>95281</v>
      </c>
      <c r="G23" s="6" t="n">
        <v>0</v>
      </c>
      <c r="H23" s="6" t="n">
        <v>95281</v>
      </c>
    </row>
    <row r="24">
      <c r="A24" t="inlineStr">
        <is>
          <t>2026-08-20</t>
        </is>
      </c>
      <c r="B24" t="n">
        <v>0</v>
      </c>
      <c r="C24" s="2" t="n">
        <v>0</v>
      </c>
      <c r="D24" s="9" t="n">
        <v>0</v>
      </c>
      <c r="E24" s="6" t="n">
        <v>0</v>
      </c>
      <c r="F24" s="6" t="n">
        <v>95281</v>
      </c>
      <c r="G24" s="6" t="n">
        <v>0</v>
      </c>
      <c r="H24" s="6" t="n">
        <v>95281</v>
      </c>
    </row>
    <row r="25">
      <c r="A25" t="inlineStr">
        <is>
          <t>2026-08-21</t>
        </is>
      </c>
      <c r="B25" t="n">
        <v>1</v>
      </c>
      <c r="C25" s="4" t="n">
        <v>5.25</v>
      </c>
      <c r="D25" s="8" t="n">
        <v>-19</v>
      </c>
      <c r="E25" s="6" t="n">
        <v>0</v>
      </c>
      <c r="F25" s="6" t="n">
        <v>95263</v>
      </c>
      <c r="G25" s="6" t="n">
        <v>0</v>
      </c>
      <c r="H25" s="6" t="n">
        <v>95263</v>
      </c>
    </row>
    <row r="26">
      <c r="A26" t="inlineStr">
        <is>
          <t>2026-08-24</t>
        </is>
      </c>
      <c r="B26" t="n">
        <v>1</v>
      </c>
      <c r="C26" s="4" t="n">
        <v>94.55</v>
      </c>
      <c r="D26" s="5" t="n">
        <v>4862</v>
      </c>
      <c r="E26" s="6" t="n">
        <v>0</v>
      </c>
      <c r="F26" s="6" t="n">
        <v>100125</v>
      </c>
      <c r="G26" s="6" t="n">
        <v>0</v>
      </c>
      <c r="H26" s="6" t="n">
        <v>100125</v>
      </c>
    </row>
    <row r="27">
      <c r="A27" t="inlineStr">
        <is>
          <t>2026-08-25</t>
        </is>
      </c>
      <c r="B27" t="n">
        <v>0</v>
      </c>
      <c r="C27" s="2" t="n">
        <v>0</v>
      </c>
      <c r="D27" s="9" t="n">
        <v>0</v>
      </c>
      <c r="E27" s="6" t="n">
        <v>0</v>
      </c>
      <c r="F27" s="6" t="n">
        <v>100125</v>
      </c>
      <c r="G27" s="6" t="n">
        <v>0</v>
      </c>
      <c r="H27" s="6" t="n">
        <v>100125</v>
      </c>
    </row>
    <row r="28">
      <c r="A28" t="inlineStr">
        <is>
          <t>2026-08-26</t>
        </is>
      </c>
      <c r="B28" t="n">
        <v>1</v>
      </c>
      <c r="C28" s="4" t="n">
        <v>9.800000000000001</v>
      </c>
      <c r="D28" s="5" t="n">
        <v>399</v>
      </c>
      <c r="E28" s="6" t="n">
        <v>0</v>
      </c>
      <c r="F28" s="6" t="n">
        <v>100524</v>
      </c>
      <c r="G28" s="6" t="n">
        <v>0</v>
      </c>
      <c r="H28" s="6" t="n">
        <v>100524</v>
      </c>
    </row>
    <row r="29">
      <c r="A29" t="inlineStr">
        <is>
          <t>2026-08-27</t>
        </is>
      </c>
      <c r="B29" t="n">
        <v>0</v>
      </c>
      <c r="C29" s="2" t="n">
        <v>0</v>
      </c>
      <c r="D29" s="9" t="n">
        <v>0</v>
      </c>
      <c r="E29" s="6" t="n">
        <v>0</v>
      </c>
      <c r="F29" s="6" t="n">
        <v>100524</v>
      </c>
      <c r="G29" s="6" t="n">
        <v>0</v>
      </c>
      <c r="H29" s="6" t="n">
        <v>100524</v>
      </c>
    </row>
    <row r="30">
      <c r="A30" t="inlineStr">
        <is>
          <t>2026-08-28</t>
        </is>
      </c>
      <c r="B30" t="n">
        <v>0</v>
      </c>
      <c r="C30" s="2" t="n">
        <v>0</v>
      </c>
      <c r="D30" s="9" t="n">
        <v>0</v>
      </c>
      <c r="E30" s="6" t="n">
        <v>0</v>
      </c>
      <c r="F30" s="6" t="n">
        <v>100524</v>
      </c>
      <c r="G30" s="6" t="n">
        <v>0</v>
      </c>
      <c r="H30" s="6" t="n">
        <v>100524</v>
      </c>
    </row>
    <row r="31">
      <c r="A31" t="inlineStr">
        <is>
          <t>2026-08-31</t>
        </is>
      </c>
      <c r="B31" t="n">
        <v>0</v>
      </c>
      <c r="C31" s="2" t="n">
        <v>0</v>
      </c>
      <c r="D31" s="9" t="n">
        <v>0</v>
      </c>
      <c r="E31" s="6" t="n">
        <v>0</v>
      </c>
      <c r="F31" s="6" t="n">
        <v>100524</v>
      </c>
      <c r="G31" s="6" t="n">
        <v>0</v>
      </c>
      <c r="H31" s="6" t="n">
        <v>100524</v>
      </c>
    </row>
    <row r="32">
      <c r="A32" t="inlineStr">
        <is>
          <t>2026-09-01</t>
        </is>
      </c>
      <c r="B32" t="n">
        <v>0</v>
      </c>
      <c r="C32" s="2" t="n">
        <v>0</v>
      </c>
      <c r="D32" s="9" t="n">
        <v>0</v>
      </c>
      <c r="E32" s="6" t="n">
        <v>0</v>
      </c>
      <c r="F32" s="6" t="n">
        <v>100524</v>
      </c>
      <c r="G32" s="6" t="n">
        <v>0</v>
      </c>
      <c r="H32" s="6" t="n">
        <v>100524</v>
      </c>
    </row>
    <row r="33">
      <c r="A33" t="inlineStr">
        <is>
          <t>2026-09-02</t>
        </is>
      </c>
      <c r="B33" t="n">
        <v>0</v>
      </c>
      <c r="C33" s="2" t="n">
        <v>0</v>
      </c>
      <c r="D33" s="9" t="n">
        <v>0</v>
      </c>
      <c r="E33" s="6" t="n">
        <v>0</v>
      </c>
      <c r="F33" s="6" t="n">
        <v>100524</v>
      </c>
      <c r="G33" s="6" t="n">
        <v>0</v>
      </c>
      <c r="H33" s="6" t="n">
        <v>100524</v>
      </c>
    </row>
    <row r="34">
      <c r="A34" t="inlineStr">
        <is>
          <t>2026-09-03</t>
        </is>
      </c>
      <c r="B34" t="n">
        <v>1</v>
      </c>
      <c r="C34" s="4" t="n">
        <v>21.3</v>
      </c>
      <c r="D34" s="5" t="n">
        <v>1235</v>
      </c>
      <c r="E34" s="6" t="n">
        <v>0</v>
      </c>
      <c r="F34" s="6" t="n">
        <v>101759</v>
      </c>
      <c r="G34" s="6" t="n">
        <v>0</v>
      </c>
      <c r="H34" s="6" t="n">
        <v>101759</v>
      </c>
    </row>
    <row r="35">
      <c r="A35" t="inlineStr">
        <is>
          <t>2026-09-04</t>
        </is>
      </c>
      <c r="B35" t="n">
        <v>0</v>
      </c>
      <c r="C35" s="2" t="n">
        <v>0</v>
      </c>
      <c r="D35" s="9" t="n">
        <v>0</v>
      </c>
      <c r="E35" s="6" t="n">
        <v>0</v>
      </c>
      <c r="F35" s="6" t="n">
        <v>101759</v>
      </c>
      <c r="G35" s="6" t="n">
        <v>0</v>
      </c>
      <c r="H35" s="6" t="n">
        <v>101759</v>
      </c>
    </row>
    <row r="36">
      <c r="A36" t="inlineStr">
        <is>
          <t>2026-09-07</t>
        </is>
      </c>
      <c r="B36" t="n">
        <v>0</v>
      </c>
      <c r="C36" s="2" t="n">
        <v>0</v>
      </c>
      <c r="D36" s="9" t="n">
        <v>0</v>
      </c>
      <c r="E36" s="6" t="n">
        <v>0</v>
      </c>
      <c r="F36" s="6" t="n">
        <v>101759</v>
      </c>
      <c r="G36" s="6" t="n">
        <v>0</v>
      </c>
      <c r="H36" s="6" t="n">
        <v>101759</v>
      </c>
    </row>
    <row r="37">
      <c r="A37" t="inlineStr">
        <is>
          <t>2026-09-08</t>
        </is>
      </c>
      <c r="B37" t="n">
        <v>0</v>
      </c>
      <c r="C37" s="2" t="n">
        <v>0</v>
      </c>
      <c r="D37" s="9" t="n">
        <v>0</v>
      </c>
      <c r="E37" s="6" t="n">
        <v>0</v>
      </c>
      <c r="F37" s="6" t="n">
        <v>101759</v>
      </c>
      <c r="G37" s="6" t="n">
        <v>0</v>
      </c>
      <c r="H37" s="6" t="n">
        <v>101759</v>
      </c>
    </row>
    <row r="38">
      <c r="A38" t="inlineStr">
        <is>
          <t>2026-09-09</t>
        </is>
      </c>
      <c r="B38" t="n">
        <v>0</v>
      </c>
      <c r="C38" s="2" t="n">
        <v>0</v>
      </c>
      <c r="D38" s="9" t="n">
        <v>0</v>
      </c>
      <c r="E38" s="6" t="n">
        <v>0</v>
      </c>
      <c r="F38" s="6" t="n">
        <v>101759</v>
      </c>
      <c r="G38" s="6" t="n">
        <v>0</v>
      </c>
      <c r="H38" s="6" t="n">
        <v>101759</v>
      </c>
    </row>
    <row r="39">
      <c r="A39" t="inlineStr">
        <is>
          <t>2026-09-10</t>
        </is>
      </c>
      <c r="B39" t="n">
        <v>1</v>
      </c>
      <c r="C39" s="7" t="n">
        <v>-58.1</v>
      </c>
      <c r="D39" s="8" t="n">
        <v>-4401</v>
      </c>
      <c r="E39" s="6" t="n">
        <v>0</v>
      </c>
      <c r="F39" s="6" t="n">
        <v>97358</v>
      </c>
      <c r="G39" s="6" t="n">
        <v>0</v>
      </c>
      <c r="H39" s="6" t="n">
        <v>97358</v>
      </c>
    </row>
    <row r="40">
      <c r="A40" t="inlineStr">
        <is>
          <t>2026-09-11</t>
        </is>
      </c>
      <c r="B40" t="n">
        <v>1</v>
      </c>
      <c r="C40" s="4" t="n">
        <v>27.8</v>
      </c>
      <c r="D40" s="5" t="n">
        <v>1792</v>
      </c>
      <c r="E40" s="6" t="n">
        <v>0</v>
      </c>
      <c r="F40" s="6" t="n">
        <v>99149</v>
      </c>
      <c r="G40" s="6" t="n">
        <v>0</v>
      </c>
      <c r="H40" s="6" t="n">
        <v>99149</v>
      </c>
    </row>
    <row r="41">
      <c r="A41" t="inlineStr">
        <is>
          <t>2026-09-15</t>
        </is>
      </c>
      <c r="B41" t="n">
        <v>0</v>
      </c>
      <c r="C41" s="2" t="n">
        <v>0</v>
      </c>
      <c r="D41" s="9" t="n">
        <v>0</v>
      </c>
      <c r="E41" s="6" t="n">
        <v>0</v>
      </c>
      <c r="F41" s="6" t="n">
        <v>99149</v>
      </c>
      <c r="G41" s="6" t="n">
        <v>0</v>
      </c>
      <c r="H41" s="6" t="n">
        <v>99149</v>
      </c>
    </row>
    <row r="42">
      <c r="A42" t="inlineStr">
        <is>
          <t>2026-09-16</t>
        </is>
      </c>
      <c r="B42" t="n">
        <v>0</v>
      </c>
      <c r="C42" s="2" t="n">
        <v>0</v>
      </c>
      <c r="D42" s="9" t="n">
        <v>0</v>
      </c>
      <c r="E42" s="6" t="n">
        <v>0</v>
      </c>
      <c r="F42" s="6" t="n">
        <v>99149</v>
      </c>
      <c r="G42" s="6" t="n">
        <v>0</v>
      </c>
      <c r="H42" s="6" t="n">
        <v>99149</v>
      </c>
    </row>
    <row r="43">
      <c r="A43" t="inlineStr">
        <is>
          <t>2026-09-17</t>
        </is>
      </c>
      <c r="B43" t="n">
        <v>0</v>
      </c>
      <c r="C43" s="2" t="n">
        <v>0</v>
      </c>
      <c r="D43" s="9" t="n">
        <v>0</v>
      </c>
      <c r="E43" s="6" t="n">
        <v>0</v>
      </c>
      <c r="F43" s="6" t="n">
        <v>99149</v>
      </c>
      <c r="G43" s="6" t="n">
        <v>0</v>
      </c>
      <c r="H43" s="6" t="n">
        <v>99149</v>
      </c>
    </row>
    <row r="44">
      <c r="A44" t="inlineStr">
        <is>
          <t>2026-09-18</t>
        </is>
      </c>
      <c r="B44" t="n">
        <v>0</v>
      </c>
      <c r="C44" s="2" t="n">
        <v>0</v>
      </c>
      <c r="D44" s="9" t="n">
        <v>0</v>
      </c>
      <c r="E44" s="6" t="n">
        <v>0</v>
      </c>
      <c r="F44" s="6" t="n">
        <v>99149</v>
      </c>
      <c r="G44" s="6" t="n">
        <v>0</v>
      </c>
      <c r="H44" s="6" t="n">
        <v>99149</v>
      </c>
    </row>
    <row r="45">
      <c r="A45" t="inlineStr">
        <is>
          <t>2026-09-21</t>
        </is>
      </c>
      <c r="B45" t="n">
        <v>0</v>
      </c>
      <c r="C45" s="2" t="n">
        <v>0</v>
      </c>
      <c r="D45" s="9" t="n">
        <v>0</v>
      </c>
      <c r="E45" s="6" t="n">
        <v>0</v>
      </c>
      <c r="F45" s="6" t="n">
        <v>99149</v>
      </c>
      <c r="G45" s="6" t="n">
        <v>0</v>
      </c>
      <c r="H45" s="6" t="n">
        <v>99149</v>
      </c>
    </row>
    <row r="46">
      <c r="A46" t="inlineStr">
        <is>
          <t>2026-09-22</t>
        </is>
      </c>
      <c r="B46" t="n">
        <v>0</v>
      </c>
      <c r="C46" s="2" t="n">
        <v>0</v>
      </c>
      <c r="D46" s="9" t="n">
        <v>0</v>
      </c>
      <c r="E46" s="6" t="n">
        <v>0</v>
      </c>
      <c r="F46" s="6" t="n">
        <v>99149</v>
      </c>
      <c r="G46" s="6" t="n">
        <v>0</v>
      </c>
      <c r="H46" s="6" t="n">
        <v>99149</v>
      </c>
    </row>
    <row r="47">
      <c r="A47" t="inlineStr">
        <is>
          <t>2026-09-23</t>
        </is>
      </c>
      <c r="B47" t="n">
        <v>0</v>
      </c>
      <c r="C47" s="2" t="n">
        <v>0</v>
      </c>
      <c r="D47" s="9" t="n">
        <v>0</v>
      </c>
      <c r="E47" s="6" t="n">
        <v>0</v>
      </c>
      <c r="F47" s="6" t="n">
        <v>99149</v>
      </c>
      <c r="G47" s="6" t="n">
        <v>0</v>
      </c>
      <c r="H47" s="6" t="n">
        <v>99149</v>
      </c>
    </row>
    <row r="48">
      <c r="A48" t="inlineStr">
        <is>
          <t>2026-09-24</t>
        </is>
      </c>
      <c r="B48" t="n">
        <v>0</v>
      </c>
      <c r="C48" s="2" t="n">
        <v>0</v>
      </c>
      <c r="D48" s="9" t="n">
        <v>0</v>
      </c>
      <c r="E48" s="6" t="n">
        <v>0</v>
      </c>
      <c r="F48" s="6" t="n">
        <v>99149</v>
      </c>
      <c r="G48" s="6" t="n">
        <v>0</v>
      </c>
      <c r="H48" s="6" t="n">
        <v>99149</v>
      </c>
    </row>
    <row r="49">
      <c r="A49" t="inlineStr">
        <is>
          <t>2026-09-25</t>
        </is>
      </c>
      <c r="B49" t="n">
        <v>1</v>
      </c>
      <c r="C49" s="7" t="n">
        <v>-8.4</v>
      </c>
      <c r="D49" s="8" t="n">
        <v>-826</v>
      </c>
      <c r="E49" s="6" t="n">
        <v>0</v>
      </c>
      <c r="F49" s="6" t="n">
        <v>98323</v>
      </c>
      <c r="G49" s="6" t="n">
        <v>0</v>
      </c>
      <c r="H49" s="6" t="n">
        <v>98323</v>
      </c>
    </row>
    <row r="50">
      <c r="A50" t="inlineStr">
        <is>
          <t>2026-09-28</t>
        </is>
      </c>
      <c r="B50" t="n">
        <v>0</v>
      </c>
      <c r="C50" s="2" t="n">
        <v>0</v>
      </c>
      <c r="D50" s="9" t="n">
        <v>0</v>
      </c>
      <c r="E50" s="6" t="n">
        <v>0</v>
      </c>
      <c r="F50" s="6" t="n">
        <v>98323</v>
      </c>
      <c r="G50" s="6" t="n">
        <v>0</v>
      </c>
      <c r="H50" s="6" t="n">
        <v>98323</v>
      </c>
    </row>
    <row r="51">
      <c r="A51" t="inlineStr">
        <is>
          <t>2026-09-29</t>
        </is>
      </c>
      <c r="B51" t="n">
        <v>0</v>
      </c>
      <c r="C51" s="2" t="n">
        <v>0</v>
      </c>
      <c r="D51" s="9" t="n">
        <v>0</v>
      </c>
      <c r="E51" s="6" t="n">
        <v>0</v>
      </c>
      <c r="F51" s="6" t="n">
        <v>98323</v>
      </c>
      <c r="G51" s="6" t="n">
        <v>0</v>
      </c>
      <c r="H51" s="6" t="n">
        <v>98323</v>
      </c>
    </row>
    <row r="52">
      <c r="A52" t="inlineStr">
        <is>
          <t>2026-09-30</t>
        </is>
      </c>
      <c r="B52" t="n">
        <v>1</v>
      </c>
      <c r="C52" s="4" t="n">
        <v>40.55</v>
      </c>
      <c r="D52" s="5" t="n">
        <v>3003</v>
      </c>
      <c r="E52" s="6" t="n">
        <v>0</v>
      </c>
      <c r="F52" s="6" t="n">
        <v>101326</v>
      </c>
      <c r="G52" s="6" t="n">
        <v>0</v>
      </c>
      <c r="H52" s="6" t="n">
        <v>101326</v>
      </c>
    </row>
    <row r="53">
      <c r="A53" t="inlineStr">
        <is>
          <t>2026-10-01</t>
        </is>
      </c>
      <c r="B53" t="n">
        <v>0</v>
      </c>
      <c r="C53" s="2" t="n">
        <v>0</v>
      </c>
      <c r="D53" s="9" t="n">
        <v>0</v>
      </c>
      <c r="E53" s="6" t="n">
        <v>0</v>
      </c>
      <c r="F53" s="6" t="n">
        <v>101326</v>
      </c>
      <c r="G53" s="6" t="n">
        <v>0</v>
      </c>
      <c r="H53" s="6" t="n">
        <v>101326</v>
      </c>
    </row>
    <row r="54">
      <c r="A54" t="inlineStr">
        <is>
          <t>2026-10-05</t>
        </is>
      </c>
      <c r="B54" t="n">
        <v>1</v>
      </c>
      <c r="C54" s="7" t="n">
        <v>-16.45</v>
      </c>
      <c r="D54" s="8" t="n">
        <v>-1915</v>
      </c>
      <c r="E54" s="6" t="n">
        <v>0</v>
      </c>
      <c r="F54" s="6" t="n">
        <v>99411</v>
      </c>
      <c r="G54" s="6" t="n">
        <v>0</v>
      </c>
      <c r="H54" s="6" t="n">
        <v>99411</v>
      </c>
    </row>
    <row r="55">
      <c r="A55" t="inlineStr">
        <is>
          <t>2026-10-06</t>
        </is>
      </c>
      <c r="B55" t="n">
        <v>0</v>
      </c>
      <c r="C55" s="2" t="n">
        <v>0</v>
      </c>
      <c r="D55" s="9" t="n">
        <v>0</v>
      </c>
      <c r="E55" s="6" t="n">
        <v>0</v>
      </c>
      <c r="F55" s="6" t="n">
        <v>99411</v>
      </c>
      <c r="G55" s="6" t="n">
        <v>0</v>
      </c>
      <c r="H55" s="6" t="n">
        <v>99411</v>
      </c>
    </row>
    <row r="56">
      <c r="A56" t="inlineStr">
        <is>
          <t>2026-10-07</t>
        </is>
      </c>
      <c r="B56" t="n">
        <v>0</v>
      </c>
      <c r="C56" s="2" t="n">
        <v>0</v>
      </c>
      <c r="D56" s="9" t="n">
        <v>0</v>
      </c>
      <c r="E56" s="6" t="n">
        <v>0</v>
      </c>
      <c r="F56" s="6" t="n">
        <v>99411</v>
      </c>
      <c r="G56" s="6" t="n">
        <v>0</v>
      </c>
      <c r="H56" s="6" t="n">
        <v>99411</v>
      </c>
    </row>
    <row r="57">
      <c r="A57" t="inlineStr">
        <is>
          <t>2026-10-08</t>
        </is>
      </c>
      <c r="B57" t="n">
        <v>0</v>
      </c>
      <c r="C57" s="2" t="n">
        <v>0</v>
      </c>
      <c r="D57" s="9" t="n">
        <v>0</v>
      </c>
      <c r="E57" s="6" t="n">
        <v>0</v>
      </c>
      <c r="F57" s="6" t="n">
        <v>99411</v>
      </c>
      <c r="G57" s="6" t="n">
        <v>0</v>
      </c>
      <c r="H57" s="6" t="n">
        <v>99411</v>
      </c>
    </row>
    <row r="58">
      <c r="A58" t="inlineStr">
        <is>
          <t>2026-10-09</t>
        </is>
      </c>
      <c r="B58" t="n">
        <v>0</v>
      </c>
      <c r="C58" s="2" t="n">
        <v>0</v>
      </c>
      <c r="D58" s="9" t="n">
        <v>0</v>
      </c>
      <c r="E58" s="6" t="n">
        <v>0</v>
      </c>
      <c r="F58" s="6" t="n">
        <v>99411</v>
      </c>
      <c r="G58" s="6" t="n">
        <v>0</v>
      </c>
      <c r="H58" s="6" t="n">
        <v>99411</v>
      </c>
    </row>
    <row r="59">
      <c r="A59" t="inlineStr">
        <is>
          <t>2026-10-12</t>
        </is>
      </c>
      <c r="B59" t="n">
        <v>1</v>
      </c>
      <c r="C59" s="4" t="n">
        <v>158.15</v>
      </c>
      <c r="D59" s="5" t="n">
        <v>11705</v>
      </c>
      <c r="E59" s="6" t="n">
        <v>0</v>
      </c>
      <c r="F59" s="6" t="n">
        <v>111116</v>
      </c>
      <c r="G59" s="6" t="n">
        <v>0</v>
      </c>
      <c r="H59" s="6" t="n">
        <v>111116</v>
      </c>
    </row>
    <row r="60">
      <c r="A60" t="inlineStr">
        <is>
          <t>2026-10-13</t>
        </is>
      </c>
      <c r="B60" t="n">
        <v>0</v>
      </c>
      <c r="C60" s="2" t="n">
        <v>0</v>
      </c>
      <c r="D60" s="9" t="n">
        <v>0</v>
      </c>
      <c r="E60" s="6" t="n">
        <v>0</v>
      </c>
      <c r="F60" s="6" t="n">
        <v>111116</v>
      </c>
      <c r="G60" s="6" t="n">
        <v>0</v>
      </c>
      <c r="H60" s="6" t="n">
        <v>111116</v>
      </c>
    </row>
  </sheetData>
  <autoFilter ref="A1:H6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2026-10-14T16:51:46Z</dcterms:created>
  <dcterms:modified xmlns:dcterms="http://purl.org/dc/terms/" xmlns:xsi="http://www.w3.org/2001/XMLSchema-instance" xsi:type="dcterms:W3CDTF">2026-10-14T16:51:46Z</dcterms:modified>
</cp:coreProperties>
</file>